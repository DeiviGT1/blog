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Products" sheetId="2" state="visible" r:id="rId4"/>
    <sheet name="Lookup Examples" sheetId="3" state="visible" r:id="rId5"/>
    <sheet name="Dynamic Arrays" sheetId="4" state="visible" r:id="rId6"/>
    <sheet name="Sales Data" sheetId="5" state="visible" r:id="rId7"/>
    <sheet name="Dashboard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<sst xmlns="http://schemas.openxmlformats.org/spreadsheetml/2006/main" count="584" uniqueCount="162">
  <si>
    <t xml:space="preserve">Nivel 3 — Ejemplos</t>
  </si>
  <si>
    <t xml:space="preserve">  Workbook de referencia con ejemplos de busqueda, Dynamic Arrays, PivotTables y mas</t>
  </si>
  <si>
    <t xml:space="preserve">Products</t>
  </si>
  <si>
    <t xml:space="preserve">Tabla de productos para busquedas VLOOKUP/XLOOKUP/INDEX+MATCH</t>
  </si>
  <si>
    <t xml:space="preserve">Lookup Examples</t>
  </si>
  <si>
    <t xml:space="preserve">Formulas de busqueda resueltas: VLOOKUP, XLOOKUP, INDEX+MATCH</t>
  </si>
  <si>
    <t xml:space="preserve">Dynamic Arrays</t>
  </si>
  <si>
    <t xml:space="preserve">Ejemplos de FILTER, SORT, UNIQUE, SEQUENCE</t>
  </si>
  <si>
    <t xml:space="preserve">Sales Data</t>
  </si>
  <si>
    <t xml:space="preserve">Dataset grande para PivotTables, Slicers, Dashboards</t>
  </si>
  <si>
    <t xml:space="preserve">Dashboard Guide</t>
  </si>
  <si>
    <t xml:space="preserve">Guia de estructura y elementos de un Dashboard</t>
  </si>
  <si>
    <t xml:space="preserve">Tabla de productos</t>
  </si>
  <si>
    <t xml:space="preserve">  Tabla de referencia para busquedas</t>
  </si>
  <si>
    <t xml:space="preserve">ProductID</t>
  </si>
  <si>
    <t xml:space="preserve">Product Name</t>
  </si>
  <si>
    <t xml:space="preserve">Category</t>
  </si>
  <si>
    <t xml:space="preserve">Price</t>
  </si>
  <si>
    <t xml:space="preserve">P001</t>
  </si>
  <si>
    <t xml:space="preserve">Laptop Pro</t>
  </si>
  <si>
    <t xml:space="preserve">Electronics</t>
  </si>
  <si>
    <t xml:space="preserve">P002</t>
  </si>
  <si>
    <t xml:space="preserve">Monitor 27in</t>
  </si>
  <si>
    <t xml:space="preserve">P003</t>
  </si>
  <si>
    <t xml:space="preserve">Mouse Wireless</t>
  </si>
  <si>
    <t xml:space="preserve">Accessories</t>
  </si>
  <si>
    <t xml:space="preserve">P004</t>
  </si>
  <si>
    <t xml:space="preserve">Keyboard</t>
  </si>
  <si>
    <t xml:space="preserve">P005</t>
  </si>
  <si>
    <t xml:space="preserve">Webcam HD</t>
  </si>
  <si>
    <t xml:space="preserve">P006</t>
  </si>
  <si>
    <t xml:space="preserve">Headset</t>
  </si>
  <si>
    <t xml:space="preserve">P007</t>
  </si>
  <si>
    <t xml:space="preserve">Tablet</t>
  </si>
  <si>
    <t xml:space="preserve">P008</t>
  </si>
  <si>
    <t xml:space="preserve">USB Hub</t>
  </si>
  <si>
    <t xml:space="preserve">Formulas de busqueda resueltas</t>
  </si>
  <si>
    <t xml:space="preserve">  Mod 1-2: VLOOKUP, XLOOKUP, INDEX+MATCH comparadas</t>
  </si>
  <si>
    <t xml:space="preserve">Buscar el nombre del producto P003</t>
  </si>
  <si>
    <t xml:space="preserve">Metodo</t>
  </si>
  <si>
    <t xml:space="preserve">Formula</t>
  </si>
  <si>
    <t xml:space="preserve">Resultado</t>
  </si>
  <si>
    <t xml:space="preserve">VLOOKUP</t>
  </si>
  <si>
    <t xml:space="preserve">XLOOKUP</t>
  </si>
  <si>
    <t xml:space="preserve">INDEX+MATCH</t>
  </si>
  <si>
    <t xml:space="preserve">Las 3 formulas devuelven el mismo resultado pero con diferentes ventajas.</t>
  </si>
  <si>
    <t xml:space="preserve">Dynamic Arrays — Ejemplos</t>
  </si>
  <si>
    <t xml:space="preserve">  Mod 3: FILTER, SORT, UNIQUE, SEQUENCE en accion</t>
  </si>
  <si>
    <t xml:space="preserve">Region</t>
  </si>
  <si>
    <t xml:space="preserve">Product</t>
  </si>
  <si>
    <t xml:space="preserve">Sales</t>
  </si>
  <si>
    <t xml:space="preserve">Norte</t>
  </si>
  <si>
    <t xml:space="preserve">Laptop</t>
  </si>
  <si>
    <t xml:space="preserve">Sur</t>
  </si>
  <si>
    <t xml:space="preserve">Mouse</t>
  </si>
  <si>
    <t xml:space="preserve">Monitor</t>
  </si>
  <si>
    <t xml:space="preserve">Este</t>
  </si>
  <si>
    <t xml:space="preserve">Oeste</t>
  </si>
  <si>
    <t xml:space="preserve">Webcam</t>
  </si>
  <si>
    <t xml:space="preserve">Formulas Dynamic Array (resultados se derraman automaticamente):</t>
  </si>
  <si>
    <t xml:space="preserve">Solo region Norte</t>
  </si>
  <si>
    <t xml:space="preserve">Ordenar por Sales desc</t>
  </si>
  <si>
    <t xml:space="preserve">Regiones unicas</t>
  </si>
  <si>
    <t xml:space="preserve">Secuencia 1-12</t>
  </si>
  <si>
    <t xml:space="preserve">Filtrar + Ordenar</t>
  </si>
  <si>
    <t xml:space="preserve">Dataset de ventas</t>
  </si>
  <si>
    <t xml:space="preserve">  Mod 4-6: Datos para PivotTables, Slicers, Timelines y Dashboards</t>
  </si>
  <si>
    <t xml:space="preserve">Usa estos datos para: Insert &gt; PivotTable, crear Slicers, Timelines y practicar Dashboards.</t>
  </si>
  <si>
    <t xml:space="preserve">Date</t>
  </si>
  <si>
    <t xml:space="preserve">Salesperson</t>
  </si>
  <si>
    <t xml:space="preserve">Units</t>
  </si>
  <si>
    <t xml:space="preserve">Cost</t>
  </si>
  <si>
    <t xml:space="preserve">2025-01-24</t>
  </si>
  <si>
    <t xml:space="preserve">Ana Lopez</t>
  </si>
  <si>
    <t xml:space="preserve">2025-01-28</t>
  </si>
  <si>
    <t xml:space="preserve">Pedro Diaz</t>
  </si>
  <si>
    <t xml:space="preserve">2025-01-14</t>
  </si>
  <si>
    <t xml:space="preserve">2025-01-02</t>
  </si>
  <si>
    <t xml:space="preserve">Maria Torres</t>
  </si>
  <si>
    <t xml:space="preserve">2025-01-08</t>
  </si>
  <si>
    <t xml:space="preserve">Juan Perez</t>
  </si>
  <si>
    <t xml:space="preserve">Carlos Ruiz</t>
  </si>
  <si>
    <t xml:space="preserve">2025-01-27</t>
  </si>
  <si>
    <t xml:space="preserve">2025-01-07</t>
  </si>
  <si>
    <t xml:space="preserve">2025-01-03</t>
  </si>
  <si>
    <t xml:space="preserve">2025-01-10</t>
  </si>
  <si>
    <t xml:space="preserve">2025-01-16</t>
  </si>
  <si>
    <t xml:space="preserve">2025-01-04</t>
  </si>
  <si>
    <t xml:space="preserve">2025-01-21</t>
  </si>
  <si>
    <t xml:space="preserve">2025-02-01</t>
  </si>
  <si>
    <t xml:space="preserve">2025-02-11</t>
  </si>
  <si>
    <t xml:space="preserve">2025-02-16</t>
  </si>
  <si>
    <t xml:space="preserve">2025-02-18</t>
  </si>
  <si>
    <t xml:space="preserve">2025-02-02</t>
  </si>
  <si>
    <t xml:space="preserve">2025-02-10</t>
  </si>
  <si>
    <t xml:space="preserve">2025-02-08</t>
  </si>
  <si>
    <t xml:space="preserve">2025-02-14</t>
  </si>
  <si>
    <t xml:space="preserve">2025-02-05</t>
  </si>
  <si>
    <t xml:space="preserve">2025-02-21</t>
  </si>
  <si>
    <t xml:space="preserve">2025-02-24</t>
  </si>
  <si>
    <t xml:space="preserve">2025-02-27</t>
  </si>
  <si>
    <t xml:space="preserve">2025-03-10</t>
  </si>
  <si>
    <t xml:space="preserve">2025-03-09</t>
  </si>
  <si>
    <t xml:space="preserve">2025-03-17</t>
  </si>
  <si>
    <t xml:space="preserve">2025-03-27</t>
  </si>
  <si>
    <t xml:space="preserve">2025-03-03</t>
  </si>
  <si>
    <t xml:space="preserve">2025-03-01</t>
  </si>
  <si>
    <t xml:space="preserve">2025-03-13</t>
  </si>
  <si>
    <t xml:space="preserve">2025-03-04</t>
  </si>
  <si>
    <t xml:space="preserve">Laura Gomez</t>
  </si>
  <si>
    <t xml:space="preserve">2025-03-07</t>
  </si>
  <si>
    <t xml:space="preserve">2025-03-16</t>
  </si>
  <si>
    <t xml:space="preserve">2025-03-22</t>
  </si>
  <si>
    <t xml:space="preserve">2025-03-24</t>
  </si>
  <si>
    <t xml:space="preserve">2025-04-18</t>
  </si>
  <si>
    <t xml:space="preserve">2025-04-27</t>
  </si>
  <si>
    <t xml:space="preserve">2025-04-01</t>
  </si>
  <si>
    <t xml:space="preserve">2025-04-07</t>
  </si>
  <si>
    <t xml:space="preserve">2025-04-11</t>
  </si>
  <si>
    <t xml:space="preserve">2025-04-13</t>
  </si>
  <si>
    <t xml:space="preserve">2025-04-21</t>
  </si>
  <si>
    <t xml:space="preserve">2025-04-05</t>
  </si>
  <si>
    <t xml:space="preserve">2025-04-08</t>
  </si>
  <si>
    <t xml:space="preserve">2025-04-09</t>
  </si>
  <si>
    <t xml:space="preserve">2025-04-10</t>
  </si>
  <si>
    <t xml:space="preserve">2025-04-12</t>
  </si>
  <si>
    <t xml:space="preserve">2025-05-14</t>
  </si>
  <si>
    <t xml:space="preserve">2025-05-23</t>
  </si>
  <si>
    <t xml:space="preserve">2025-05-12</t>
  </si>
  <si>
    <t xml:space="preserve">2025-05-24</t>
  </si>
  <si>
    <t xml:space="preserve">2025-05-02</t>
  </si>
  <si>
    <t xml:space="preserve">2025-05-19</t>
  </si>
  <si>
    <t xml:space="preserve">2025-05-20</t>
  </si>
  <si>
    <t xml:space="preserve">2025-05-25</t>
  </si>
  <si>
    <t xml:space="preserve">2025-05-11</t>
  </si>
  <si>
    <t xml:space="preserve">2025-05-18</t>
  </si>
  <si>
    <t xml:space="preserve">2025-05-27</t>
  </si>
  <si>
    <t xml:space="preserve">2025-05-07</t>
  </si>
  <si>
    <t xml:space="preserve">2025-06-06</t>
  </si>
  <si>
    <t xml:space="preserve">2025-06-08</t>
  </si>
  <si>
    <t xml:space="preserve">2025-06-10</t>
  </si>
  <si>
    <t xml:space="preserve">2025-06-19</t>
  </si>
  <si>
    <t xml:space="preserve">2025-06-17</t>
  </si>
  <si>
    <t xml:space="preserve">2025-06-16</t>
  </si>
  <si>
    <t xml:space="preserve">2025-06-03</t>
  </si>
  <si>
    <t xml:space="preserve">2025-06-02</t>
  </si>
  <si>
    <t xml:space="preserve">2025-06-11</t>
  </si>
  <si>
    <t xml:space="preserve">2025-06-26</t>
  </si>
  <si>
    <t xml:space="preserve">2025-06-15</t>
  </si>
  <si>
    <t xml:space="preserve">2025-06-04</t>
  </si>
  <si>
    <t xml:space="preserve">Guia para construir un Dashboard</t>
  </si>
  <si>
    <t xml:space="preserve">  Mod 6: Estructura, elementos y pasos</t>
  </si>
  <si>
    <t xml:space="preserve">1. Crea PivotTables en hojas separadas usando los datos de 'Sales Data'</t>
  </si>
  <si>
    <t xml:space="preserve">2. Crea una hoja nueva llamada 'Dashboard'</t>
  </si>
  <si>
    <t xml:space="preserve">3. En la parte superior, crea KPI Cards con GETPIVOTDATA o SUMIFS: Total Sales, Avg Ticket, Total Units</t>
  </si>
  <si>
    <t xml:space="preserve">4. Inserta PivotCharts basados en tus PivotTables</t>
  </si>
  <si>
    <t xml:space="preserve">5. Agrega Slicers (Region, Category) y conectalos a todas las PivotTables via Report Connections</t>
  </si>
  <si>
    <t xml:space="preserve">6. Agrega un Timeline para el campo Date</t>
  </si>
  <si>
    <t xml:space="preserve">7. Oculta gridlines (View &gt; Gridlines) y headings (View &gt; Headings)</t>
  </si>
  <si>
    <t xml:space="preserve">8. Aplica fondo gris claro a toda la hoja</t>
  </si>
  <si>
    <t xml:space="preserve">9. Protege la hoja (Review &gt; Protect Sheet) permitiendo solo interaccion con Slicers</t>
  </si>
  <si>
    <t xml:space="preserve">10. Verifica que todo se actualice al hacer clic en los Slicers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</si>
</sst>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520F1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7B1D32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  <c r="H7" s="4"/>
      <c r="I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  <c r="H9" s="4"/>
      <c r="I9" s="4"/>
    </row>
  </sheetData>
  <mergeCells count="7">
    <mergeCell ref="A1:J2"/>
    <mergeCell ref="A3:J3"/>
    <mergeCell ref="C5:I5"/>
    <mergeCell ref="C6:I6"/>
    <mergeCell ref="C7:I7"/>
    <mergeCell ref="C8:I8"/>
    <mergeCell ref="C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10" min="6" style="0" width="16"/>
  </cols>
  <sheetData>
    <row r="1" customFormat="false" ht="27.7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5" t="s">
        <v>14</v>
      </c>
      <c r="C5" s="5" t="s">
        <v>15</v>
      </c>
      <c r="D5" s="5" t="s">
        <v>16</v>
      </c>
      <c r="E5" s="5" t="s">
        <v>17</v>
      </c>
    </row>
    <row r="6" customFormat="false" ht="15" hidden="false" customHeight="false" outlineLevel="0" collapsed="false">
      <c r="B6" s="6" t="s">
        <v>18</v>
      </c>
      <c r="C6" s="6" t="s">
        <v>19</v>
      </c>
      <c r="D6" s="6" t="s">
        <v>20</v>
      </c>
      <c r="E6" s="7" t="n">
        <v>1200</v>
      </c>
    </row>
    <row r="7" customFormat="false" ht="15" hidden="false" customHeight="false" outlineLevel="0" collapsed="false">
      <c r="B7" s="6" t="s">
        <v>21</v>
      </c>
      <c r="C7" s="6" t="s">
        <v>22</v>
      </c>
      <c r="D7" s="6" t="s">
        <v>20</v>
      </c>
      <c r="E7" s="7" t="n">
        <v>400</v>
      </c>
    </row>
    <row r="8" customFormat="false" ht="15" hidden="false" customHeight="false" outlineLevel="0" collapsed="false">
      <c r="B8" s="6" t="s">
        <v>23</v>
      </c>
      <c r="C8" s="6" t="s">
        <v>24</v>
      </c>
      <c r="D8" s="6" t="s">
        <v>25</v>
      </c>
      <c r="E8" s="7" t="n">
        <v>25</v>
      </c>
    </row>
    <row r="9" customFormat="false" ht="15" hidden="false" customHeight="false" outlineLevel="0" collapsed="false">
      <c r="B9" s="6" t="s">
        <v>26</v>
      </c>
      <c r="C9" s="6" t="s">
        <v>27</v>
      </c>
      <c r="D9" s="6" t="s">
        <v>25</v>
      </c>
      <c r="E9" s="7" t="n">
        <v>60</v>
      </c>
    </row>
    <row r="10" customFormat="false" ht="15" hidden="false" customHeight="false" outlineLevel="0" collapsed="false">
      <c r="B10" s="6" t="s">
        <v>28</v>
      </c>
      <c r="C10" s="6" t="s">
        <v>29</v>
      </c>
      <c r="D10" s="6" t="s">
        <v>25</v>
      </c>
      <c r="E10" s="7" t="n">
        <v>85</v>
      </c>
    </row>
    <row r="11" customFormat="false" ht="15" hidden="false" customHeight="false" outlineLevel="0" collapsed="false">
      <c r="B11" s="6" t="s">
        <v>30</v>
      </c>
      <c r="C11" s="6" t="s">
        <v>31</v>
      </c>
      <c r="D11" s="6" t="s">
        <v>25</v>
      </c>
      <c r="E11" s="7" t="n">
        <v>45</v>
      </c>
    </row>
    <row r="12" customFormat="false" ht="15" hidden="false" customHeight="false" outlineLevel="0" collapsed="false">
      <c r="B12" s="6" t="s">
        <v>32</v>
      </c>
      <c r="C12" s="6" t="s">
        <v>33</v>
      </c>
      <c r="D12" s="6" t="s">
        <v>20</v>
      </c>
      <c r="E12" s="7" t="n">
        <v>650</v>
      </c>
    </row>
    <row r="13" customFormat="false" ht="15" hidden="false" customHeight="false" outlineLevel="0" collapsed="false">
      <c r="B13" s="6" t="s">
        <v>34</v>
      </c>
      <c r="C13" s="6" t="s">
        <v>35</v>
      </c>
      <c r="D13" s="6" t="s">
        <v>25</v>
      </c>
      <c r="E13" s="7" t="n">
        <v>30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20"/>
    <col collapsed="false" customWidth="true" hidden="false" outlineLevel="0" max="10" min="6" style="0" width="16"/>
  </cols>
  <sheetData>
    <row r="1" customFormat="false" ht="27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37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8" t="s">
        <v>38</v>
      </c>
    </row>
    <row r="7" customFormat="false" ht="15" hidden="false" customHeight="false" outlineLevel="0" collapsed="false">
      <c r="B7" s="5" t="s">
        <v>39</v>
      </c>
      <c r="C7" s="5" t="s">
        <v>40</v>
      </c>
      <c r="D7" s="5" t="s">
        <v>41</v>
      </c>
    </row>
    <row r="8" customFormat="false" ht="15" hidden="false" customHeight="false" outlineLevel="0" collapsed="false">
      <c r="B8" s="9" t="s">
        <v>42</v>
      </c>
      <c r="C8" s="10" t="str">
        <f aca="false">VLOOKUP("P003",Products!B6:E13,2,FALSE())</f>
        <v>Mouse Wireless</v>
      </c>
      <c r="D8" s="11" t="str">
        <f aca="false">VLOOKUP("P003",Products!B6:E13,2,FALSE())</f>
        <v>Mouse Wireless</v>
      </c>
    </row>
    <row r="9" customFormat="false" ht="15" hidden="false" customHeight="false" outlineLevel="0" collapsed="false">
      <c r="B9" s="9" t="s">
        <v>43</v>
      </c>
      <c r="C9" s="10" t="e">
        <f aca="false">xlookup("P003",Products!B6:B13,Products!C6:C13,"Not found")</f>
        <v>#NAME?</v>
      </c>
      <c r="D9" s="11" t="e">
        <f aca="false">xlookup("P003",Products!B6:B13,Products!C6:C13,"Not found")</f>
        <v>#NAME?</v>
      </c>
    </row>
    <row r="10" customFormat="false" ht="15" hidden="false" customHeight="false" outlineLevel="0" collapsed="false">
      <c r="B10" s="9" t="s">
        <v>44</v>
      </c>
      <c r="C10" s="10" t="str">
        <f aca="false">INDEX(Products!C6:C13,MATCH("P003",Products!B6:B13,0))</f>
        <v>Mouse Wireless</v>
      </c>
      <c r="D10" s="11" t="str">
        <f aca="false">INDEX(Products!C6:C13,MATCH("P003",Products!B6:B13,0))</f>
        <v>Mouse Wireless</v>
      </c>
    </row>
    <row r="13" customFormat="false" ht="15" hidden="false" customHeight="false" outlineLevel="0" collapsed="false">
      <c r="B13" s="12" t="s">
        <v>45</v>
      </c>
      <c r="C13" s="12"/>
      <c r="D13" s="12"/>
      <c r="E13" s="12"/>
    </row>
  </sheetData>
  <mergeCells count="3">
    <mergeCell ref="A1:J2"/>
    <mergeCell ref="A3:J3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50"/>
    <col collapsed="false" customWidth="true" hidden="false" outlineLevel="0" max="10" min="4" style="0" width="16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47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5" t="s">
        <v>48</v>
      </c>
      <c r="C5" s="5" t="s">
        <v>49</v>
      </c>
      <c r="D5" s="5" t="s">
        <v>50</v>
      </c>
    </row>
    <row r="6" customFormat="false" ht="15" hidden="false" customHeight="false" outlineLevel="0" collapsed="false">
      <c r="B6" s="6" t="s">
        <v>51</v>
      </c>
      <c r="C6" s="6" t="s">
        <v>52</v>
      </c>
      <c r="D6" s="7" t="n">
        <v>45000</v>
      </c>
    </row>
    <row r="7" customFormat="false" ht="15" hidden="false" customHeight="false" outlineLevel="0" collapsed="false">
      <c r="B7" s="6" t="s">
        <v>53</v>
      </c>
      <c r="C7" s="6" t="s">
        <v>54</v>
      </c>
      <c r="D7" s="7" t="n">
        <v>4800</v>
      </c>
    </row>
    <row r="8" customFormat="false" ht="15" hidden="false" customHeight="false" outlineLevel="0" collapsed="false">
      <c r="B8" s="6" t="s">
        <v>51</v>
      </c>
      <c r="C8" s="6" t="s">
        <v>55</v>
      </c>
      <c r="D8" s="7" t="n">
        <v>31000</v>
      </c>
    </row>
    <row r="9" customFormat="false" ht="15" hidden="false" customHeight="false" outlineLevel="0" collapsed="false">
      <c r="B9" s="6" t="s">
        <v>56</v>
      </c>
      <c r="C9" s="6" t="s">
        <v>52</v>
      </c>
      <c r="D9" s="7" t="n">
        <v>38000</v>
      </c>
    </row>
    <row r="10" customFormat="false" ht="15" hidden="false" customHeight="false" outlineLevel="0" collapsed="false">
      <c r="B10" s="6" t="s">
        <v>57</v>
      </c>
      <c r="C10" s="6" t="s">
        <v>27</v>
      </c>
      <c r="D10" s="7" t="n">
        <v>5400</v>
      </c>
    </row>
    <row r="11" customFormat="false" ht="15" hidden="false" customHeight="false" outlineLevel="0" collapsed="false">
      <c r="B11" s="6" t="s">
        <v>51</v>
      </c>
      <c r="C11" s="6" t="s">
        <v>58</v>
      </c>
      <c r="D11" s="7" t="n">
        <v>8200</v>
      </c>
    </row>
    <row r="12" customFormat="false" ht="15" hidden="false" customHeight="false" outlineLevel="0" collapsed="false">
      <c r="B12" s="6" t="s">
        <v>53</v>
      </c>
      <c r="C12" s="6" t="s">
        <v>52</v>
      </c>
      <c r="D12" s="7" t="n">
        <v>38000</v>
      </c>
    </row>
    <row r="13" customFormat="false" ht="15" hidden="false" customHeight="false" outlineLevel="0" collapsed="false">
      <c r="B13" s="6" t="s">
        <v>56</v>
      </c>
      <c r="C13" s="6" t="s">
        <v>54</v>
      </c>
      <c r="D13" s="7" t="n">
        <v>3200</v>
      </c>
    </row>
    <row r="14" customFormat="false" ht="15" hidden="false" customHeight="false" outlineLevel="0" collapsed="false">
      <c r="B14" s="6" t="s">
        <v>57</v>
      </c>
      <c r="C14" s="6" t="s">
        <v>52</v>
      </c>
      <c r="D14" s="7" t="n">
        <v>52000</v>
      </c>
    </row>
    <row r="17" customFormat="false" ht="16.15" hidden="false" customHeight="false" outlineLevel="0" collapsed="false">
      <c r="B17" s="8" t="s">
        <v>59</v>
      </c>
    </row>
    <row r="19" customFormat="false" ht="15" hidden="false" customHeight="false" outlineLevel="0" collapsed="false">
      <c r="B19" s="6" t="s">
        <v>60</v>
      </c>
      <c r="C19" s="10" t="e">
        <f aca="false">filter(B6:D14, B6:B14="Norte")</f>
        <v>#VALUE!</v>
      </c>
    </row>
    <row r="20" customFormat="false" ht="15" hidden="false" customHeight="false" outlineLevel="0" collapsed="false">
      <c r="B20" s="6" t="s">
        <v>61</v>
      </c>
      <c r="C20" s="10" t="e">
        <f aca="false">sort(B6:D14, 3, -1)</f>
        <v>#NAME?</v>
      </c>
    </row>
    <row r="21" customFormat="false" ht="15" hidden="false" customHeight="false" outlineLevel="0" collapsed="false">
      <c r="B21" s="6" t="s">
        <v>62</v>
      </c>
      <c r="C21" s="10" t="e">
        <f aca="false">unique(B6:B14)</f>
        <v>#NAME?</v>
      </c>
    </row>
    <row r="22" customFormat="false" ht="15" hidden="false" customHeight="false" outlineLevel="0" collapsed="false">
      <c r="B22" s="6" t="s">
        <v>63</v>
      </c>
      <c r="C22" s="10" t="e">
        <f aca="false">sequence(12,1,1,1)</f>
        <v>#NAME?</v>
      </c>
    </row>
    <row r="23" customFormat="false" ht="15" hidden="false" customHeight="false" outlineLevel="0" collapsed="false">
      <c r="B23" s="6" t="s">
        <v>64</v>
      </c>
      <c r="C23" s="10" t="e">
        <f aca="false">sort(filter(B6:D14, D6:D14&gt;10000), 3, -1)</f>
        <v>#VALUE!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66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2" t="s">
        <v>67</v>
      </c>
      <c r="C5" s="12"/>
      <c r="D5" s="12"/>
      <c r="E5" s="12"/>
      <c r="F5" s="12"/>
      <c r="G5" s="12"/>
      <c r="H5" s="12"/>
      <c r="I5" s="12"/>
    </row>
    <row r="7" customFormat="false" ht="15" hidden="false" customHeight="false" outlineLevel="0" collapsed="false">
      <c r="B7" s="5" t="s">
        <v>68</v>
      </c>
      <c r="C7" s="5" t="s">
        <v>48</v>
      </c>
      <c r="D7" s="5" t="s">
        <v>16</v>
      </c>
      <c r="E7" s="5" t="s">
        <v>49</v>
      </c>
      <c r="F7" s="5" t="s">
        <v>69</v>
      </c>
      <c r="G7" s="5" t="s">
        <v>50</v>
      </c>
      <c r="H7" s="5" t="s">
        <v>70</v>
      </c>
      <c r="I7" s="5" t="s">
        <v>71</v>
      </c>
    </row>
    <row r="8" customFormat="false" ht="15" hidden="false" customHeight="false" outlineLevel="0" collapsed="false">
      <c r="B8" s="6" t="s">
        <v>72</v>
      </c>
      <c r="C8" s="6" t="s">
        <v>51</v>
      </c>
      <c r="D8" s="6" t="s">
        <v>20</v>
      </c>
      <c r="E8" s="6" t="s">
        <v>52</v>
      </c>
      <c r="F8" s="6" t="s">
        <v>73</v>
      </c>
      <c r="G8" s="7" t="n">
        <v>63347</v>
      </c>
      <c r="H8" s="6" t="n">
        <v>48</v>
      </c>
      <c r="I8" s="7" t="n">
        <v>35508</v>
      </c>
    </row>
    <row r="9" customFormat="false" ht="15" hidden="false" customHeight="false" outlineLevel="0" collapsed="false">
      <c r="B9" s="6" t="s">
        <v>74</v>
      </c>
      <c r="C9" s="6" t="s">
        <v>51</v>
      </c>
      <c r="D9" s="6" t="s">
        <v>20</v>
      </c>
      <c r="E9" s="6" t="s">
        <v>33</v>
      </c>
      <c r="F9" s="6" t="s">
        <v>75</v>
      </c>
      <c r="G9" s="7" t="n">
        <v>35582</v>
      </c>
      <c r="H9" s="6" t="n">
        <v>57</v>
      </c>
      <c r="I9" s="7" t="n">
        <v>20293</v>
      </c>
    </row>
    <row r="10" customFormat="false" ht="15" hidden="false" customHeight="false" outlineLevel="0" collapsed="false">
      <c r="B10" s="6" t="s">
        <v>76</v>
      </c>
      <c r="C10" s="6" t="s">
        <v>51</v>
      </c>
      <c r="D10" s="6" t="s">
        <v>25</v>
      </c>
      <c r="E10" s="6" t="s">
        <v>31</v>
      </c>
      <c r="F10" s="6" t="s">
        <v>75</v>
      </c>
      <c r="G10" s="7" t="n">
        <v>4751</v>
      </c>
      <c r="H10" s="6" t="n">
        <v>108</v>
      </c>
      <c r="I10" s="7" t="n">
        <v>2761</v>
      </c>
    </row>
    <row r="11" customFormat="false" ht="15" hidden="false" customHeight="false" outlineLevel="0" collapsed="false">
      <c r="B11" s="6" t="s">
        <v>77</v>
      </c>
      <c r="C11" s="6" t="s">
        <v>51</v>
      </c>
      <c r="D11" s="6" t="s">
        <v>25</v>
      </c>
      <c r="E11" s="6" t="s">
        <v>58</v>
      </c>
      <c r="F11" s="6" t="s">
        <v>78</v>
      </c>
      <c r="G11" s="7" t="n">
        <v>13088</v>
      </c>
      <c r="H11" s="6" t="n">
        <v>146</v>
      </c>
      <c r="I11" s="7" t="n">
        <v>6650</v>
      </c>
    </row>
    <row r="12" customFormat="false" ht="15" hidden="false" customHeight="false" outlineLevel="0" collapsed="false">
      <c r="B12" s="6" t="s">
        <v>79</v>
      </c>
      <c r="C12" s="6" t="s">
        <v>53</v>
      </c>
      <c r="D12" s="6" t="s">
        <v>20</v>
      </c>
      <c r="E12" s="6" t="s">
        <v>52</v>
      </c>
      <c r="F12" s="6" t="s">
        <v>80</v>
      </c>
      <c r="G12" s="7" t="n">
        <v>185872</v>
      </c>
      <c r="H12" s="6" t="n">
        <v>156</v>
      </c>
      <c r="I12" s="7" t="n">
        <v>101253</v>
      </c>
    </row>
    <row r="13" customFormat="false" ht="15" hidden="false" customHeight="false" outlineLevel="0" collapsed="false">
      <c r="B13" s="6" t="s">
        <v>79</v>
      </c>
      <c r="C13" s="6" t="s">
        <v>53</v>
      </c>
      <c r="D13" s="6" t="s">
        <v>20</v>
      </c>
      <c r="E13" s="6" t="s">
        <v>33</v>
      </c>
      <c r="F13" s="6" t="s">
        <v>81</v>
      </c>
      <c r="G13" s="7" t="n">
        <v>20808</v>
      </c>
      <c r="H13" s="6" t="n">
        <v>32</v>
      </c>
      <c r="I13" s="7" t="n">
        <v>13513</v>
      </c>
    </row>
    <row r="14" customFormat="false" ht="15" hidden="false" customHeight="false" outlineLevel="0" collapsed="false">
      <c r="B14" s="6" t="s">
        <v>82</v>
      </c>
      <c r="C14" s="6" t="s">
        <v>53</v>
      </c>
      <c r="D14" s="6" t="s">
        <v>25</v>
      </c>
      <c r="E14" s="6" t="s">
        <v>27</v>
      </c>
      <c r="F14" s="6" t="s">
        <v>73</v>
      </c>
      <c r="G14" s="7" t="n">
        <v>3056</v>
      </c>
      <c r="H14" s="6" t="n">
        <v>53</v>
      </c>
      <c r="I14" s="7" t="n">
        <v>2035</v>
      </c>
    </row>
    <row r="15" customFormat="false" ht="15" hidden="false" customHeight="false" outlineLevel="0" collapsed="false">
      <c r="B15" s="6" t="s">
        <v>79</v>
      </c>
      <c r="C15" s="6" t="s">
        <v>53</v>
      </c>
      <c r="D15" s="6" t="s">
        <v>25</v>
      </c>
      <c r="E15" s="6" t="s">
        <v>31</v>
      </c>
      <c r="F15" s="6" t="s">
        <v>81</v>
      </c>
      <c r="G15" s="7" t="n">
        <v>4979</v>
      </c>
      <c r="H15" s="6" t="n">
        <v>115</v>
      </c>
      <c r="I15" s="7" t="n">
        <v>2850</v>
      </c>
    </row>
    <row r="16" customFormat="false" ht="15" hidden="false" customHeight="false" outlineLevel="0" collapsed="false">
      <c r="B16" s="6" t="s">
        <v>83</v>
      </c>
      <c r="C16" s="6" t="s">
        <v>56</v>
      </c>
      <c r="D16" s="6" t="s">
        <v>20</v>
      </c>
      <c r="E16" s="6" t="s">
        <v>55</v>
      </c>
      <c r="F16" s="6" t="s">
        <v>80</v>
      </c>
      <c r="G16" s="7" t="n">
        <v>19640</v>
      </c>
      <c r="H16" s="6" t="n">
        <v>52</v>
      </c>
      <c r="I16" s="7" t="n">
        <v>11996</v>
      </c>
    </row>
    <row r="17" customFormat="false" ht="15" hidden="false" customHeight="false" outlineLevel="0" collapsed="false">
      <c r="B17" s="6" t="s">
        <v>76</v>
      </c>
      <c r="C17" s="6" t="s">
        <v>56</v>
      </c>
      <c r="D17" s="6" t="s">
        <v>20</v>
      </c>
      <c r="E17" s="6" t="s">
        <v>52</v>
      </c>
      <c r="F17" s="6" t="s">
        <v>75</v>
      </c>
      <c r="G17" s="7" t="n">
        <v>107247</v>
      </c>
      <c r="H17" s="6" t="n">
        <v>87</v>
      </c>
      <c r="I17" s="7" t="n">
        <v>71368</v>
      </c>
    </row>
    <row r="18" customFormat="false" ht="15" hidden="false" customHeight="false" outlineLevel="0" collapsed="false">
      <c r="B18" s="6" t="s">
        <v>84</v>
      </c>
      <c r="C18" s="6" t="s">
        <v>56</v>
      </c>
      <c r="D18" s="6" t="s">
        <v>25</v>
      </c>
      <c r="E18" s="6" t="s">
        <v>31</v>
      </c>
      <c r="F18" s="6" t="s">
        <v>75</v>
      </c>
      <c r="G18" s="7" t="n">
        <v>7736</v>
      </c>
      <c r="H18" s="6" t="n">
        <v>164</v>
      </c>
      <c r="I18" s="7" t="n">
        <v>4486</v>
      </c>
    </row>
    <row r="19" customFormat="false" ht="15" hidden="false" customHeight="false" outlineLevel="0" collapsed="false">
      <c r="B19" s="6" t="s">
        <v>85</v>
      </c>
      <c r="C19" s="6" t="s">
        <v>56</v>
      </c>
      <c r="D19" s="6" t="s">
        <v>25</v>
      </c>
      <c r="E19" s="6" t="s">
        <v>58</v>
      </c>
      <c r="F19" s="6" t="s">
        <v>78</v>
      </c>
      <c r="G19" s="7" t="n">
        <v>5809</v>
      </c>
      <c r="H19" s="6" t="n">
        <v>75</v>
      </c>
      <c r="I19" s="7" t="n">
        <v>3719</v>
      </c>
    </row>
    <row r="20" customFormat="false" ht="15" hidden="false" customHeight="false" outlineLevel="0" collapsed="false">
      <c r="B20" s="6" t="s">
        <v>86</v>
      </c>
      <c r="C20" s="6" t="s">
        <v>57</v>
      </c>
      <c r="D20" s="6" t="s">
        <v>20</v>
      </c>
      <c r="E20" s="6" t="s">
        <v>55</v>
      </c>
      <c r="F20" s="6" t="s">
        <v>80</v>
      </c>
      <c r="G20" s="7" t="n">
        <v>15402</v>
      </c>
      <c r="H20" s="6" t="n">
        <v>42</v>
      </c>
      <c r="I20" s="7" t="n">
        <v>8977</v>
      </c>
    </row>
    <row r="21" customFormat="false" ht="15" hidden="false" customHeight="false" outlineLevel="0" collapsed="false">
      <c r="B21" s="6" t="s">
        <v>87</v>
      </c>
      <c r="C21" s="6" t="s">
        <v>57</v>
      </c>
      <c r="D21" s="6" t="s">
        <v>20</v>
      </c>
      <c r="E21" s="6" t="s">
        <v>33</v>
      </c>
      <c r="F21" s="6" t="s">
        <v>78</v>
      </c>
      <c r="G21" s="7" t="n">
        <v>79585</v>
      </c>
      <c r="H21" s="6" t="n">
        <v>134</v>
      </c>
      <c r="I21" s="7" t="n">
        <v>43965</v>
      </c>
    </row>
    <row r="22" customFormat="false" ht="15" hidden="false" customHeight="false" outlineLevel="0" collapsed="false">
      <c r="B22" s="6" t="s">
        <v>88</v>
      </c>
      <c r="C22" s="6" t="s">
        <v>57</v>
      </c>
      <c r="D22" s="6" t="s">
        <v>25</v>
      </c>
      <c r="E22" s="6" t="s">
        <v>58</v>
      </c>
      <c r="F22" s="6" t="s">
        <v>81</v>
      </c>
      <c r="G22" s="7" t="n">
        <v>9461</v>
      </c>
      <c r="H22" s="6" t="n">
        <v>110</v>
      </c>
      <c r="I22" s="7" t="n">
        <v>5624</v>
      </c>
    </row>
    <row r="23" customFormat="false" ht="15" hidden="false" customHeight="false" outlineLevel="0" collapsed="false">
      <c r="B23" s="6" t="s">
        <v>72</v>
      </c>
      <c r="C23" s="6" t="s">
        <v>57</v>
      </c>
      <c r="D23" s="6" t="s">
        <v>25</v>
      </c>
      <c r="E23" s="6" t="s">
        <v>54</v>
      </c>
      <c r="F23" s="6" t="s">
        <v>75</v>
      </c>
      <c r="G23" s="7" t="n">
        <v>1823</v>
      </c>
      <c r="H23" s="6" t="n">
        <v>80</v>
      </c>
      <c r="I23" s="7" t="n">
        <v>998</v>
      </c>
    </row>
    <row r="24" customFormat="false" ht="15" hidden="false" customHeight="false" outlineLevel="0" collapsed="false">
      <c r="B24" s="6" t="s">
        <v>89</v>
      </c>
      <c r="C24" s="6" t="s">
        <v>51</v>
      </c>
      <c r="D24" s="6" t="s">
        <v>20</v>
      </c>
      <c r="E24" s="6" t="s">
        <v>55</v>
      </c>
      <c r="F24" s="6" t="s">
        <v>75</v>
      </c>
      <c r="G24" s="7" t="n">
        <v>38308</v>
      </c>
      <c r="H24" s="6" t="n">
        <v>92</v>
      </c>
      <c r="I24" s="7" t="n">
        <v>23458</v>
      </c>
    </row>
    <row r="25" customFormat="false" ht="15" hidden="false" customHeight="false" outlineLevel="0" collapsed="false">
      <c r="B25" s="6" t="s">
        <v>90</v>
      </c>
      <c r="C25" s="6" t="s">
        <v>51</v>
      </c>
      <c r="D25" s="6" t="s">
        <v>20</v>
      </c>
      <c r="E25" s="6" t="s">
        <v>33</v>
      </c>
      <c r="F25" s="6" t="s">
        <v>80</v>
      </c>
      <c r="G25" s="7" t="n">
        <v>11992</v>
      </c>
      <c r="H25" s="6" t="n">
        <v>19</v>
      </c>
      <c r="I25" s="7" t="n">
        <v>7598</v>
      </c>
    </row>
    <row r="26" customFormat="false" ht="15" hidden="false" customHeight="false" outlineLevel="0" collapsed="false">
      <c r="B26" s="6" t="s">
        <v>91</v>
      </c>
      <c r="C26" s="6" t="s">
        <v>51</v>
      </c>
      <c r="D26" s="6" t="s">
        <v>25</v>
      </c>
      <c r="E26" s="6" t="s">
        <v>31</v>
      </c>
      <c r="F26" s="6" t="s">
        <v>75</v>
      </c>
      <c r="G26" s="7" t="n">
        <v>4120</v>
      </c>
      <c r="H26" s="6" t="n">
        <v>84</v>
      </c>
      <c r="I26" s="7" t="n">
        <v>2394</v>
      </c>
    </row>
    <row r="27" customFormat="false" ht="15" hidden="false" customHeight="false" outlineLevel="0" collapsed="false">
      <c r="B27" s="6" t="s">
        <v>92</v>
      </c>
      <c r="C27" s="6" t="s">
        <v>51</v>
      </c>
      <c r="D27" s="6" t="s">
        <v>25</v>
      </c>
      <c r="E27" s="6" t="s">
        <v>58</v>
      </c>
      <c r="F27" s="6" t="s">
        <v>81</v>
      </c>
      <c r="G27" s="7" t="n">
        <v>5525</v>
      </c>
      <c r="H27" s="6" t="n">
        <v>63</v>
      </c>
      <c r="I27" s="7" t="n">
        <v>3712</v>
      </c>
    </row>
    <row r="28" customFormat="false" ht="15" hidden="false" customHeight="false" outlineLevel="0" collapsed="false">
      <c r="B28" s="6" t="s">
        <v>93</v>
      </c>
      <c r="C28" s="6" t="s">
        <v>53</v>
      </c>
      <c r="D28" s="6" t="s">
        <v>20</v>
      </c>
      <c r="E28" s="6" t="s">
        <v>52</v>
      </c>
      <c r="F28" s="6" t="s">
        <v>75</v>
      </c>
      <c r="G28" s="7" t="n">
        <v>151207</v>
      </c>
      <c r="H28" s="6" t="n">
        <v>124</v>
      </c>
      <c r="I28" s="7" t="n">
        <v>90382</v>
      </c>
    </row>
    <row r="29" customFormat="false" ht="15" hidden="false" customHeight="false" outlineLevel="0" collapsed="false">
      <c r="B29" s="6" t="s">
        <v>91</v>
      </c>
      <c r="C29" s="6" t="s">
        <v>53</v>
      </c>
      <c r="D29" s="6" t="s">
        <v>20</v>
      </c>
      <c r="E29" s="6" t="s">
        <v>55</v>
      </c>
      <c r="F29" s="6" t="s">
        <v>81</v>
      </c>
      <c r="G29" s="7" t="n">
        <v>55917</v>
      </c>
      <c r="H29" s="6" t="n">
        <v>152</v>
      </c>
      <c r="I29" s="7" t="n">
        <v>33603</v>
      </c>
    </row>
    <row r="30" customFormat="false" ht="15" hidden="false" customHeight="false" outlineLevel="0" collapsed="false">
      <c r="B30" s="6" t="s">
        <v>94</v>
      </c>
      <c r="C30" s="6" t="s">
        <v>53</v>
      </c>
      <c r="D30" s="6" t="s">
        <v>25</v>
      </c>
      <c r="E30" s="6" t="s">
        <v>27</v>
      </c>
      <c r="F30" s="6" t="s">
        <v>81</v>
      </c>
      <c r="G30" s="7" t="n">
        <v>10670</v>
      </c>
      <c r="H30" s="6" t="n">
        <v>181</v>
      </c>
      <c r="I30" s="7" t="n">
        <v>5594</v>
      </c>
    </row>
    <row r="31" customFormat="false" ht="15" hidden="false" customHeight="false" outlineLevel="0" collapsed="false">
      <c r="B31" s="6" t="s">
        <v>95</v>
      </c>
      <c r="C31" s="6" t="s">
        <v>53</v>
      </c>
      <c r="D31" s="6" t="s">
        <v>25</v>
      </c>
      <c r="E31" s="6" t="s">
        <v>58</v>
      </c>
      <c r="F31" s="6" t="s">
        <v>75</v>
      </c>
      <c r="G31" s="7" t="n">
        <v>5580</v>
      </c>
      <c r="H31" s="6" t="n">
        <v>62</v>
      </c>
      <c r="I31" s="7" t="n">
        <v>2821</v>
      </c>
    </row>
    <row r="32" customFormat="false" ht="15" hidden="false" customHeight="false" outlineLevel="0" collapsed="false">
      <c r="B32" s="6" t="s">
        <v>89</v>
      </c>
      <c r="C32" s="6" t="s">
        <v>56</v>
      </c>
      <c r="D32" s="6" t="s">
        <v>20</v>
      </c>
      <c r="E32" s="6" t="s">
        <v>55</v>
      </c>
      <c r="F32" s="6" t="s">
        <v>80</v>
      </c>
      <c r="G32" s="7" t="n">
        <v>72773</v>
      </c>
      <c r="H32" s="6" t="n">
        <v>167</v>
      </c>
      <c r="I32" s="7" t="n">
        <v>39367</v>
      </c>
    </row>
    <row r="33" customFormat="false" ht="15" hidden="false" customHeight="false" outlineLevel="0" collapsed="false">
      <c r="B33" s="6" t="s">
        <v>96</v>
      </c>
      <c r="C33" s="6" t="s">
        <v>56</v>
      </c>
      <c r="D33" s="6" t="s">
        <v>20</v>
      </c>
      <c r="E33" s="6" t="s">
        <v>33</v>
      </c>
      <c r="F33" s="6" t="s">
        <v>78</v>
      </c>
      <c r="G33" s="7" t="n">
        <v>65484</v>
      </c>
      <c r="H33" s="6" t="n">
        <v>102</v>
      </c>
      <c r="I33" s="7" t="n">
        <v>33963</v>
      </c>
    </row>
    <row r="34" customFormat="false" ht="15" hidden="false" customHeight="false" outlineLevel="0" collapsed="false">
      <c r="B34" s="6" t="s">
        <v>97</v>
      </c>
      <c r="C34" s="6" t="s">
        <v>56</v>
      </c>
      <c r="D34" s="6" t="s">
        <v>25</v>
      </c>
      <c r="E34" s="6" t="s">
        <v>31</v>
      </c>
      <c r="F34" s="6" t="s">
        <v>80</v>
      </c>
      <c r="G34" s="7" t="n">
        <v>1189</v>
      </c>
      <c r="H34" s="6" t="n">
        <v>29</v>
      </c>
      <c r="I34" s="7" t="n">
        <v>773</v>
      </c>
    </row>
    <row r="35" customFormat="false" ht="15" hidden="false" customHeight="false" outlineLevel="0" collapsed="false">
      <c r="B35" s="6" t="s">
        <v>98</v>
      </c>
      <c r="C35" s="6" t="s">
        <v>56</v>
      </c>
      <c r="D35" s="6" t="s">
        <v>25</v>
      </c>
      <c r="E35" s="6" t="s">
        <v>27</v>
      </c>
      <c r="F35" s="6" t="s">
        <v>73</v>
      </c>
      <c r="G35" s="7" t="n">
        <v>881</v>
      </c>
      <c r="H35" s="6" t="n">
        <v>16</v>
      </c>
      <c r="I35" s="7" t="n">
        <v>535</v>
      </c>
    </row>
    <row r="36" customFormat="false" ht="15" hidden="false" customHeight="false" outlineLevel="0" collapsed="false">
      <c r="B36" s="6" t="s">
        <v>98</v>
      </c>
      <c r="C36" s="6" t="s">
        <v>57</v>
      </c>
      <c r="D36" s="6" t="s">
        <v>20</v>
      </c>
      <c r="E36" s="6" t="s">
        <v>33</v>
      </c>
      <c r="F36" s="6" t="s">
        <v>75</v>
      </c>
      <c r="G36" s="7" t="n">
        <v>138852</v>
      </c>
      <c r="H36" s="6" t="n">
        <v>200</v>
      </c>
      <c r="I36" s="7" t="n">
        <v>79529</v>
      </c>
    </row>
    <row r="37" customFormat="false" ht="15" hidden="false" customHeight="false" outlineLevel="0" collapsed="false">
      <c r="B37" s="6" t="s">
        <v>99</v>
      </c>
      <c r="C37" s="6" t="s">
        <v>57</v>
      </c>
      <c r="D37" s="6" t="s">
        <v>20</v>
      </c>
      <c r="E37" s="6" t="s">
        <v>55</v>
      </c>
      <c r="F37" s="6" t="s">
        <v>81</v>
      </c>
      <c r="G37" s="7" t="n">
        <v>55200</v>
      </c>
      <c r="H37" s="6" t="n">
        <v>151</v>
      </c>
      <c r="I37" s="7" t="n">
        <v>33565</v>
      </c>
    </row>
    <row r="38" customFormat="false" ht="15" hidden="false" customHeight="false" outlineLevel="0" collapsed="false">
      <c r="B38" s="6" t="s">
        <v>100</v>
      </c>
      <c r="C38" s="6" t="s">
        <v>57</v>
      </c>
      <c r="D38" s="6" t="s">
        <v>25</v>
      </c>
      <c r="E38" s="6" t="s">
        <v>54</v>
      </c>
      <c r="F38" s="6" t="s">
        <v>75</v>
      </c>
      <c r="G38" s="7" t="n">
        <v>2840</v>
      </c>
      <c r="H38" s="6" t="n">
        <v>124</v>
      </c>
      <c r="I38" s="7" t="n">
        <v>1622</v>
      </c>
    </row>
    <row r="39" customFormat="false" ht="15" hidden="false" customHeight="false" outlineLevel="0" collapsed="false">
      <c r="B39" s="6" t="s">
        <v>95</v>
      </c>
      <c r="C39" s="6" t="s">
        <v>57</v>
      </c>
      <c r="D39" s="6" t="s">
        <v>25</v>
      </c>
      <c r="E39" s="6" t="s">
        <v>58</v>
      </c>
      <c r="F39" s="6" t="s">
        <v>75</v>
      </c>
      <c r="G39" s="7" t="n">
        <v>1176</v>
      </c>
      <c r="H39" s="6" t="n">
        <v>13</v>
      </c>
      <c r="I39" s="7" t="n">
        <v>706</v>
      </c>
    </row>
    <row r="40" customFormat="false" ht="15" hidden="false" customHeight="false" outlineLevel="0" collapsed="false">
      <c r="B40" s="6" t="s">
        <v>101</v>
      </c>
      <c r="C40" s="6" t="s">
        <v>51</v>
      </c>
      <c r="D40" s="6" t="s">
        <v>20</v>
      </c>
      <c r="E40" s="6" t="s">
        <v>55</v>
      </c>
      <c r="F40" s="6" t="s">
        <v>75</v>
      </c>
      <c r="G40" s="7" t="n">
        <v>18831</v>
      </c>
      <c r="H40" s="6" t="n">
        <v>44</v>
      </c>
      <c r="I40" s="7" t="n">
        <v>12244</v>
      </c>
    </row>
    <row r="41" customFormat="false" ht="15" hidden="false" customHeight="false" outlineLevel="0" collapsed="false">
      <c r="B41" s="6" t="s">
        <v>102</v>
      </c>
      <c r="C41" s="6" t="s">
        <v>51</v>
      </c>
      <c r="D41" s="6" t="s">
        <v>20</v>
      </c>
      <c r="E41" s="6" t="s">
        <v>52</v>
      </c>
      <c r="F41" s="6" t="s">
        <v>75</v>
      </c>
      <c r="G41" s="7" t="n">
        <v>178162</v>
      </c>
      <c r="H41" s="6" t="n">
        <v>148</v>
      </c>
      <c r="I41" s="7" t="n">
        <v>124420</v>
      </c>
    </row>
    <row r="42" customFormat="false" ht="15" hidden="false" customHeight="false" outlineLevel="0" collapsed="false">
      <c r="B42" s="6" t="s">
        <v>103</v>
      </c>
      <c r="C42" s="6" t="s">
        <v>51</v>
      </c>
      <c r="D42" s="6" t="s">
        <v>25</v>
      </c>
      <c r="E42" s="6" t="s">
        <v>54</v>
      </c>
      <c r="F42" s="6" t="s">
        <v>73</v>
      </c>
      <c r="G42" s="7" t="n">
        <v>3308</v>
      </c>
      <c r="H42" s="6" t="n">
        <v>131</v>
      </c>
      <c r="I42" s="7" t="n">
        <v>1865</v>
      </c>
    </row>
    <row r="43" customFormat="false" ht="15" hidden="false" customHeight="false" outlineLevel="0" collapsed="false">
      <c r="B43" s="6" t="s">
        <v>104</v>
      </c>
      <c r="C43" s="6" t="s">
        <v>51</v>
      </c>
      <c r="D43" s="6" t="s">
        <v>25</v>
      </c>
      <c r="E43" s="6" t="s">
        <v>27</v>
      </c>
      <c r="F43" s="6" t="s">
        <v>75</v>
      </c>
      <c r="G43" s="7" t="n">
        <v>9009</v>
      </c>
      <c r="H43" s="6" t="n">
        <v>163</v>
      </c>
      <c r="I43" s="7" t="n">
        <v>5579</v>
      </c>
    </row>
    <row r="44" customFormat="false" ht="15" hidden="false" customHeight="false" outlineLevel="0" collapsed="false">
      <c r="B44" s="6" t="s">
        <v>105</v>
      </c>
      <c r="C44" s="6" t="s">
        <v>53</v>
      </c>
      <c r="D44" s="6" t="s">
        <v>20</v>
      </c>
      <c r="E44" s="6" t="s">
        <v>33</v>
      </c>
      <c r="F44" s="6" t="s">
        <v>75</v>
      </c>
      <c r="G44" s="7" t="n">
        <v>17231</v>
      </c>
      <c r="H44" s="6" t="n">
        <v>28</v>
      </c>
      <c r="I44" s="7" t="n">
        <v>9210</v>
      </c>
    </row>
    <row r="45" customFormat="false" ht="15" hidden="false" customHeight="false" outlineLevel="0" collapsed="false">
      <c r="B45" s="6" t="s">
        <v>106</v>
      </c>
      <c r="C45" s="6" t="s">
        <v>53</v>
      </c>
      <c r="D45" s="6" t="s">
        <v>20</v>
      </c>
      <c r="E45" s="6" t="s">
        <v>55</v>
      </c>
      <c r="F45" s="6" t="s">
        <v>78</v>
      </c>
      <c r="G45" s="7" t="n">
        <v>57623</v>
      </c>
      <c r="H45" s="6" t="n">
        <v>133</v>
      </c>
      <c r="I45" s="7" t="n">
        <v>37794</v>
      </c>
    </row>
    <row r="46" customFormat="false" ht="15" hidden="false" customHeight="false" outlineLevel="0" collapsed="false">
      <c r="B46" s="6" t="s">
        <v>107</v>
      </c>
      <c r="C46" s="6" t="s">
        <v>53</v>
      </c>
      <c r="D46" s="6" t="s">
        <v>25</v>
      </c>
      <c r="E46" s="6" t="s">
        <v>54</v>
      </c>
      <c r="F46" s="6" t="s">
        <v>80</v>
      </c>
      <c r="G46" s="7" t="n">
        <v>2441</v>
      </c>
      <c r="H46" s="6" t="n">
        <v>107</v>
      </c>
      <c r="I46" s="7" t="n">
        <v>1488</v>
      </c>
    </row>
    <row r="47" customFormat="false" ht="15" hidden="false" customHeight="false" outlineLevel="0" collapsed="false">
      <c r="B47" s="6" t="s">
        <v>105</v>
      </c>
      <c r="C47" s="6" t="s">
        <v>53</v>
      </c>
      <c r="D47" s="6" t="s">
        <v>25</v>
      </c>
      <c r="E47" s="6" t="s">
        <v>58</v>
      </c>
      <c r="F47" s="6" t="s">
        <v>73</v>
      </c>
      <c r="G47" s="7" t="n">
        <v>1479</v>
      </c>
      <c r="H47" s="6" t="n">
        <v>18</v>
      </c>
      <c r="I47" s="7" t="n">
        <v>863</v>
      </c>
    </row>
    <row r="48" customFormat="false" ht="15" hidden="false" customHeight="false" outlineLevel="0" collapsed="false">
      <c r="B48" s="6" t="s">
        <v>108</v>
      </c>
      <c r="C48" s="6" t="s">
        <v>56</v>
      </c>
      <c r="D48" s="6" t="s">
        <v>20</v>
      </c>
      <c r="E48" s="6" t="s">
        <v>52</v>
      </c>
      <c r="F48" s="6" t="s">
        <v>109</v>
      </c>
      <c r="G48" s="7" t="n">
        <v>188744</v>
      </c>
      <c r="H48" s="6" t="n">
        <v>154</v>
      </c>
      <c r="I48" s="7" t="n">
        <v>116448</v>
      </c>
    </row>
    <row r="49" customFormat="false" ht="15" hidden="false" customHeight="false" outlineLevel="0" collapsed="false">
      <c r="B49" s="6" t="s">
        <v>110</v>
      </c>
      <c r="C49" s="6" t="s">
        <v>56</v>
      </c>
      <c r="D49" s="6" t="s">
        <v>20</v>
      </c>
      <c r="E49" s="6" t="s">
        <v>33</v>
      </c>
      <c r="F49" s="6" t="s">
        <v>78</v>
      </c>
      <c r="G49" s="7" t="n">
        <v>81796</v>
      </c>
      <c r="H49" s="6" t="n">
        <v>131</v>
      </c>
      <c r="I49" s="7" t="n">
        <v>54265</v>
      </c>
    </row>
    <row r="50" customFormat="false" ht="15" hidden="false" customHeight="false" outlineLevel="0" collapsed="false">
      <c r="B50" s="6" t="s">
        <v>111</v>
      </c>
      <c r="C50" s="6" t="s">
        <v>56</v>
      </c>
      <c r="D50" s="6" t="s">
        <v>25</v>
      </c>
      <c r="E50" s="6" t="s">
        <v>31</v>
      </c>
      <c r="F50" s="6" t="s">
        <v>78</v>
      </c>
      <c r="G50" s="7" t="n">
        <v>820</v>
      </c>
      <c r="H50" s="6" t="n">
        <v>17</v>
      </c>
      <c r="I50" s="7" t="n">
        <v>433</v>
      </c>
    </row>
    <row r="51" customFormat="false" ht="15" hidden="false" customHeight="false" outlineLevel="0" collapsed="false">
      <c r="B51" s="6" t="s">
        <v>102</v>
      </c>
      <c r="C51" s="6" t="s">
        <v>56</v>
      </c>
      <c r="D51" s="6" t="s">
        <v>25</v>
      </c>
      <c r="E51" s="6" t="s">
        <v>58</v>
      </c>
      <c r="F51" s="6" t="s">
        <v>81</v>
      </c>
      <c r="G51" s="7" t="n">
        <v>16236</v>
      </c>
      <c r="H51" s="6" t="n">
        <v>197</v>
      </c>
      <c r="I51" s="7" t="n">
        <v>8216</v>
      </c>
    </row>
    <row r="52" customFormat="false" ht="15" hidden="false" customHeight="false" outlineLevel="0" collapsed="false">
      <c r="B52" s="6" t="s">
        <v>108</v>
      </c>
      <c r="C52" s="6" t="s">
        <v>57</v>
      </c>
      <c r="D52" s="6" t="s">
        <v>20</v>
      </c>
      <c r="E52" s="6" t="s">
        <v>33</v>
      </c>
      <c r="F52" s="6" t="s">
        <v>75</v>
      </c>
      <c r="G52" s="7" t="n">
        <v>105265</v>
      </c>
      <c r="H52" s="6" t="n">
        <v>161</v>
      </c>
      <c r="I52" s="7" t="n">
        <v>59646</v>
      </c>
    </row>
    <row r="53" customFormat="false" ht="15" hidden="false" customHeight="false" outlineLevel="0" collapsed="false">
      <c r="B53" s="6" t="s">
        <v>112</v>
      </c>
      <c r="C53" s="6" t="s">
        <v>57</v>
      </c>
      <c r="D53" s="6" t="s">
        <v>20</v>
      </c>
      <c r="E53" s="6" t="s">
        <v>55</v>
      </c>
      <c r="F53" s="6" t="s">
        <v>78</v>
      </c>
      <c r="G53" s="7" t="n">
        <v>61845</v>
      </c>
      <c r="H53" s="6" t="n">
        <v>170</v>
      </c>
      <c r="I53" s="7" t="n">
        <v>40717</v>
      </c>
    </row>
    <row r="54" customFormat="false" ht="15" hidden="false" customHeight="false" outlineLevel="0" collapsed="false">
      <c r="B54" s="6" t="s">
        <v>108</v>
      </c>
      <c r="C54" s="6" t="s">
        <v>57</v>
      </c>
      <c r="D54" s="6" t="s">
        <v>25</v>
      </c>
      <c r="E54" s="6" t="s">
        <v>31</v>
      </c>
      <c r="F54" s="6" t="s">
        <v>80</v>
      </c>
      <c r="G54" s="7" t="n">
        <v>3571</v>
      </c>
      <c r="H54" s="6" t="n">
        <v>78</v>
      </c>
      <c r="I54" s="7" t="n">
        <v>1974</v>
      </c>
    </row>
    <row r="55" customFormat="false" ht="15" hidden="false" customHeight="false" outlineLevel="0" collapsed="false">
      <c r="B55" s="6" t="s">
        <v>113</v>
      </c>
      <c r="C55" s="6" t="s">
        <v>57</v>
      </c>
      <c r="D55" s="6" t="s">
        <v>25</v>
      </c>
      <c r="E55" s="6" t="s">
        <v>27</v>
      </c>
      <c r="F55" s="6" t="s">
        <v>73</v>
      </c>
      <c r="G55" s="7" t="n">
        <v>10419</v>
      </c>
      <c r="H55" s="6" t="n">
        <v>179</v>
      </c>
      <c r="I55" s="7" t="n">
        <v>6817</v>
      </c>
    </row>
    <row r="56" customFormat="false" ht="15" hidden="false" customHeight="false" outlineLevel="0" collapsed="false">
      <c r="B56" s="6" t="s">
        <v>114</v>
      </c>
      <c r="C56" s="6" t="s">
        <v>51</v>
      </c>
      <c r="D56" s="6" t="s">
        <v>20</v>
      </c>
      <c r="E56" s="6" t="s">
        <v>33</v>
      </c>
      <c r="F56" s="6" t="s">
        <v>109</v>
      </c>
      <c r="G56" s="7" t="n">
        <v>27610</v>
      </c>
      <c r="H56" s="6" t="n">
        <v>44</v>
      </c>
      <c r="I56" s="7" t="n">
        <v>16281</v>
      </c>
    </row>
    <row r="57" customFormat="false" ht="15" hidden="false" customHeight="false" outlineLevel="0" collapsed="false">
      <c r="B57" s="6" t="s">
        <v>115</v>
      </c>
      <c r="C57" s="6" t="s">
        <v>51</v>
      </c>
      <c r="D57" s="6" t="s">
        <v>20</v>
      </c>
      <c r="E57" s="6" t="s">
        <v>52</v>
      </c>
      <c r="F57" s="6" t="s">
        <v>78</v>
      </c>
      <c r="G57" s="7" t="n">
        <v>65253</v>
      </c>
      <c r="H57" s="6" t="n">
        <v>53</v>
      </c>
      <c r="I57" s="7" t="n">
        <v>34030</v>
      </c>
    </row>
    <row r="58" customFormat="false" ht="15" hidden="false" customHeight="false" outlineLevel="0" collapsed="false">
      <c r="B58" s="6" t="s">
        <v>116</v>
      </c>
      <c r="C58" s="6" t="s">
        <v>51</v>
      </c>
      <c r="D58" s="6" t="s">
        <v>25</v>
      </c>
      <c r="E58" s="6" t="s">
        <v>54</v>
      </c>
      <c r="F58" s="6" t="s">
        <v>78</v>
      </c>
      <c r="G58" s="7" t="n">
        <v>1756</v>
      </c>
      <c r="H58" s="6" t="n">
        <v>68</v>
      </c>
      <c r="I58" s="7" t="n">
        <v>897</v>
      </c>
    </row>
    <row r="59" customFormat="false" ht="15" hidden="false" customHeight="false" outlineLevel="0" collapsed="false">
      <c r="B59" s="6" t="s">
        <v>117</v>
      </c>
      <c r="C59" s="6" t="s">
        <v>51</v>
      </c>
      <c r="D59" s="6" t="s">
        <v>25</v>
      </c>
      <c r="E59" s="6" t="s">
        <v>58</v>
      </c>
      <c r="F59" s="6" t="s">
        <v>78</v>
      </c>
      <c r="G59" s="7" t="n">
        <v>9864</v>
      </c>
      <c r="H59" s="6" t="n">
        <v>114</v>
      </c>
      <c r="I59" s="7" t="n">
        <v>5864</v>
      </c>
    </row>
    <row r="60" customFormat="false" ht="15" hidden="false" customHeight="false" outlineLevel="0" collapsed="false">
      <c r="B60" s="6" t="s">
        <v>118</v>
      </c>
      <c r="C60" s="6" t="s">
        <v>53</v>
      </c>
      <c r="D60" s="6" t="s">
        <v>20</v>
      </c>
      <c r="E60" s="6" t="s">
        <v>52</v>
      </c>
      <c r="F60" s="6" t="s">
        <v>109</v>
      </c>
      <c r="G60" s="7" t="n">
        <v>170348</v>
      </c>
      <c r="H60" s="6" t="n">
        <v>151</v>
      </c>
      <c r="I60" s="7" t="n">
        <v>101280</v>
      </c>
    </row>
    <row r="61" customFormat="false" ht="15" hidden="false" customHeight="false" outlineLevel="0" collapsed="false">
      <c r="B61" s="6" t="s">
        <v>119</v>
      </c>
      <c r="C61" s="6" t="s">
        <v>53</v>
      </c>
      <c r="D61" s="6" t="s">
        <v>20</v>
      </c>
      <c r="E61" s="6" t="s">
        <v>33</v>
      </c>
      <c r="F61" s="6" t="s">
        <v>75</v>
      </c>
      <c r="G61" s="7" t="n">
        <v>82541</v>
      </c>
      <c r="H61" s="6" t="n">
        <v>139</v>
      </c>
      <c r="I61" s="7" t="n">
        <v>41559</v>
      </c>
    </row>
    <row r="62" customFormat="false" ht="15" hidden="false" customHeight="false" outlineLevel="0" collapsed="false">
      <c r="B62" s="6" t="s">
        <v>119</v>
      </c>
      <c r="C62" s="6" t="s">
        <v>53</v>
      </c>
      <c r="D62" s="6" t="s">
        <v>25</v>
      </c>
      <c r="E62" s="6" t="s">
        <v>27</v>
      </c>
      <c r="F62" s="6" t="s">
        <v>73</v>
      </c>
      <c r="G62" s="7" t="n">
        <v>11088</v>
      </c>
      <c r="H62" s="6" t="n">
        <v>192</v>
      </c>
      <c r="I62" s="7" t="n">
        <v>7712</v>
      </c>
    </row>
    <row r="63" customFormat="false" ht="15" hidden="false" customHeight="false" outlineLevel="0" collapsed="false">
      <c r="B63" s="6" t="s">
        <v>120</v>
      </c>
      <c r="C63" s="6" t="s">
        <v>53</v>
      </c>
      <c r="D63" s="6" t="s">
        <v>25</v>
      </c>
      <c r="E63" s="6" t="s">
        <v>54</v>
      </c>
      <c r="F63" s="6" t="s">
        <v>109</v>
      </c>
      <c r="G63" s="7" t="n">
        <v>1836</v>
      </c>
      <c r="H63" s="6" t="n">
        <v>80</v>
      </c>
      <c r="I63" s="7" t="n">
        <v>1146</v>
      </c>
    </row>
    <row r="64" customFormat="false" ht="15" hidden="false" customHeight="false" outlineLevel="0" collapsed="false">
      <c r="B64" s="6" t="s">
        <v>121</v>
      </c>
      <c r="C64" s="6" t="s">
        <v>56</v>
      </c>
      <c r="D64" s="6" t="s">
        <v>20</v>
      </c>
      <c r="E64" s="6" t="s">
        <v>33</v>
      </c>
      <c r="F64" s="6" t="s">
        <v>78</v>
      </c>
      <c r="G64" s="7" t="n">
        <v>57602</v>
      </c>
      <c r="H64" s="6" t="n">
        <v>83</v>
      </c>
      <c r="I64" s="7" t="n">
        <v>32770</v>
      </c>
    </row>
    <row r="65" customFormat="false" ht="15" hidden="false" customHeight="false" outlineLevel="0" collapsed="false">
      <c r="B65" s="6" t="s">
        <v>121</v>
      </c>
      <c r="C65" s="6" t="s">
        <v>56</v>
      </c>
      <c r="D65" s="6" t="s">
        <v>20</v>
      </c>
      <c r="E65" s="6" t="s">
        <v>52</v>
      </c>
      <c r="F65" s="6" t="s">
        <v>109</v>
      </c>
      <c r="G65" s="7" t="n">
        <v>33336</v>
      </c>
      <c r="H65" s="6" t="n">
        <v>29</v>
      </c>
      <c r="I65" s="7" t="n">
        <v>17314</v>
      </c>
    </row>
    <row r="66" customFormat="false" ht="15" hidden="false" customHeight="false" outlineLevel="0" collapsed="false">
      <c r="B66" s="6" t="s">
        <v>122</v>
      </c>
      <c r="C66" s="6" t="s">
        <v>56</v>
      </c>
      <c r="D66" s="6" t="s">
        <v>25</v>
      </c>
      <c r="E66" s="6" t="s">
        <v>31</v>
      </c>
      <c r="F66" s="6" t="s">
        <v>78</v>
      </c>
      <c r="G66" s="7" t="n">
        <v>8257</v>
      </c>
      <c r="H66" s="6" t="n">
        <v>198</v>
      </c>
      <c r="I66" s="7" t="n">
        <v>4713</v>
      </c>
    </row>
    <row r="67" customFormat="false" ht="15" hidden="false" customHeight="false" outlineLevel="0" collapsed="false">
      <c r="B67" s="6" t="s">
        <v>123</v>
      </c>
      <c r="C67" s="6" t="s">
        <v>56</v>
      </c>
      <c r="D67" s="6" t="s">
        <v>25</v>
      </c>
      <c r="E67" s="6" t="s">
        <v>27</v>
      </c>
      <c r="F67" s="6" t="s">
        <v>78</v>
      </c>
      <c r="G67" s="7" t="n">
        <v>7199</v>
      </c>
      <c r="H67" s="6" t="n">
        <v>117</v>
      </c>
      <c r="I67" s="7" t="n">
        <v>4154</v>
      </c>
    </row>
    <row r="68" customFormat="false" ht="15" hidden="false" customHeight="false" outlineLevel="0" collapsed="false">
      <c r="B68" s="6" t="s">
        <v>120</v>
      </c>
      <c r="C68" s="6" t="s">
        <v>57</v>
      </c>
      <c r="D68" s="6" t="s">
        <v>20</v>
      </c>
      <c r="E68" s="6" t="s">
        <v>55</v>
      </c>
      <c r="F68" s="6" t="s">
        <v>109</v>
      </c>
      <c r="G68" s="7" t="n">
        <v>7226</v>
      </c>
      <c r="H68" s="6" t="n">
        <v>19</v>
      </c>
      <c r="I68" s="7" t="n">
        <v>3781</v>
      </c>
    </row>
    <row r="69" customFormat="false" ht="15" hidden="false" customHeight="false" outlineLevel="0" collapsed="false">
      <c r="B69" s="6" t="s">
        <v>118</v>
      </c>
      <c r="C69" s="6" t="s">
        <v>57</v>
      </c>
      <c r="D69" s="6" t="s">
        <v>20</v>
      </c>
      <c r="E69" s="6" t="s">
        <v>33</v>
      </c>
      <c r="F69" s="6" t="s">
        <v>109</v>
      </c>
      <c r="G69" s="7" t="n">
        <v>53168</v>
      </c>
      <c r="H69" s="6" t="n">
        <v>86</v>
      </c>
      <c r="I69" s="7" t="n">
        <v>27606</v>
      </c>
    </row>
    <row r="70" customFormat="false" ht="15" hidden="false" customHeight="false" outlineLevel="0" collapsed="false">
      <c r="B70" s="6" t="s">
        <v>124</v>
      </c>
      <c r="C70" s="6" t="s">
        <v>57</v>
      </c>
      <c r="D70" s="6" t="s">
        <v>25</v>
      </c>
      <c r="E70" s="6" t="s">
        <v>27</v>
      </c>
      <c r="F70" s="6" t="s">
        <v>75</v>
      </c>
      <c r="G70" s="7" t="n">
        <v>6375</v>
      </c>
      <c r="H70" s="6" t="n">
        <v>99</v>
      </c>
      <c r="I70" s="7" t="n">
        <v>3400</v>
      </c>
    </row>
    <row r="71" customFormat="false" ht="15" hidden="false" customHeight="false" outlineLevel="0" collapsed="false">
      <c r="B71" s="6" t="s">
        <v>125</v>
      </c>
      <c r="C71" s="6" t="s">
        <v>57</v>
      </c>
      <c r="D71" s="6" t="s">
        <v>25</v>
      </c>
      <c r="E71" s="6" t="s">
        <v>58</v>
      </c>
      <c r="F71" s="6" t="s">
        <v>78</v>
      </c>
      <c r="G71" s="7" t="n">
        <v>7666</v>
      </c>
      <c r="H71" s="6" t="n">
        <v>86</v>
      </c>
      <c r="I71" s="7" t="n">
        <v>4193</v>
      </c>
    </row>
    <row r="72" customFormat="false" ht="15" hidden="false" customHeight="false" outlineLevel="0" collapsed="false">
      <c r="B72" s="6" t="s">
        <v>126</v>
      </c>
      <c r="C72" s="6" t="s">
        <v>51</v>
      </c>
      <c r="D72" s="6" t="s">
        <v>20</v>
      </c>
      <c r="E72" s="6" t="s">
        <v>33</v>
      </c>
      <c r="F72" s="6" t="s">
        <v>81</v>
      </c>
      <c r="G72" s="7" t="n">
        <v>102645</v>
      </c>
      <c r="H72" s="6" t="n">
        <v>150</v>
      </c>
      <c r="I72" s="7" t="n">
        <v>66910</v>
      </c>
    </row>
    <row r="73" customFormat="false" ht="15" hidden="false" customHeight="false" outlineLevel="0" collapsed="false">
      <c r="B73" s="6" t="s">
        <v>127</v>
      </c>
      <c r="C73" s="6" t="s">
        <v>51</v>
      </c>
      <c r="D73" s="6" t="s">
        <v>20</v>
      </c>
      <c r="E73" s="6" t="s">
        <v>52</v>
      </c>
      <c r="F73" s="6" t="s">
        <v>109</v>
      </c>
      <c r="G73" s="7" t="n">
        <v>50168</v>
      </c>
      <c r="H73" s="6" t="n">
        <v>44</v>
      </c>
      <c r="I73" s="7" t="n">
        <v>33396</v>
      </c>
    </row>
    <row r="74" customFormat="false" ht="15" hidden="false" customHeight="false" outlineLevel="0" collapsed="false">
      <c r="B74" s="6" t="s">
        <v>128</v>
      </c>
      <c r="C74" s="6" t="s">
        <v>51</v>
      </c>
      <c r="D74" s="6" t="s">
        <v>25</v>
      </c>
      <c r="E74" s="6" t="s">
        <v>58</v>
      </c>
      <c r="F74" s="6" t="s">
        <v>80</v>
      </c>
      <c r="G74" s="7" t="n">
        <v>14764</v>
      </c>
      <c r="H74" s="6" t="n">
        <v>161</v>
      </c>
      <c r="I74" s="7" t="n">
        <v>9744</v>
      </c>
    </row>
    <row r="75" customFormat="false" ht="15" hidden="false" customHeight="false" outlineLevel="0" collapsed="false">
      <c r="B75" s="6" t="s">
        <v>129</v>
      </c>
      <c r="C75" s="6" t="s">
        <v>51</v>
      </c>
      <c r="D75" s="6" t="s">
        <v>25</v>
      </c>
      <c r="E75" s="6" t="s">
        <v>27</v>
      </c>
      <c r="F75" s="6" t="s">
        <v>109</v>
      </c>
      <c r="G75" s="7" t="n">
        <v>6936</v>
      </c>
      <c r="H75" s="6" t="n">
        <v>118</v>
      </c>
      <c r="I75" s="7" t="n">
        <v>3870</v>
      </c>
    </row>
    <row r="76" customFormat="false" ht="15" hidden="false" customHeight="false" outlineLevel="0" collapsed="false">
      <c r="B76" s="6" t="s">
        <v>130</v>
      </c>
      <c r="C76" s="6" t="s">
        <v>53</v>
      </c>
      <c r="D76" s="6" t="s">
        <v>20</v>
      </c>
      <c r="E76" s="6" t="s">
        <v>33</v>
      </c>
      <c r="F76" s="6" t="s">
        <v>80</v>
      </c>
      <c r="G76" s="7" t="n">
        <v>19532</v>
      </c>
      <c r="H76" s="6" t="n">
        <v>29</v>
      </c>
      <c r="I76" s="7" t="n">
        <v>10613</v>
      </c>
    </row>
    <row r="77" customFormat="false" ht="15" hidden="false" customHeight="false" outlineLevel="0" collapsed="false">
      <c r="B77" s="6" t="s">
        <v>131</v>
      </c>
      <c r="C77" s="6" t="s">
        <v>53</v>
      </c>
      <c r="D77" s="6" t="s">
        <v>20</v>
      </c>
      <c r="E77" s="6" t="s">
        <v>55</v>
      </c>
      <c r="F77" s="6" t="s">
        <v>80</v>
      </c>
      <c r="G77" s="7" t="n">
        <v>53871</v>
      </c>
      <c r="H77" s="6" t="n">
        <v>126</v>
      </c>
      <c r="I77" s="7" t="n">
        <v>31816</v>
      </c>
    </row>
    <row r="78" customFormat="false" ht="15" hidden="false" customHeight="false" outlineLevel="0" collapsed="false">
      <c r="B78" s="6" t="s">
        <v>132</v>
      </c>
      <c r="C78" s="6" t="s">
        <v>53</v>
      </c>
      <c r="D78" s="6" t="s">
        <v>25</v>
      </c>
      <c r="E78" s="6" t="s">
        <v>54</v>
      </c>
      <c r="F78" s="6" t="s">
        <v>73</v>
      </c>
      <c r="G78" s="7" t="n">
        <v>1595</v>
      </c>
      <c r="H78" s="6" t="n">
        <v>69</v>
      </c>
      <c r="I78" s="7" t="n">
        <v>861</v>
      </c>
    </row>
    <row r="79" customFormat="false" ht="15" hidden="false" customHeight="false" outlineLevel="0" collapsed="false">
      <c r="B79" s="6" t="s">
        <v>129</v>
      </c>
      <c r="C79" s="6" t="s">
        <v>53</v>
      </c>
      <c r="D79" s="6" t="s">
        <v>25</v>
      </c>
      <c r="E79" s="6" t="s">
        <v>58</v>
      </c>
      <c r="F79" s="6" t="s">
        <v>81</v>
      </c>
      <c r="G79" s="7" t="n">
        <v>13463</v>
      </c>
      <c r="H79" s="6" t="n">
        <v>173</v>
      </c>
      <c r="I79" s="7" t="n">
        <v>7423</v>
      </c>
    </row>
    <row r="80" customFormat="false" ht="15" hidden="false" customHeight="false" outlineLevel="0" collapsed="false">
      <c r="B80" s="6" t="s">
        <v>129</v>
      </c>
      <c r="C80" s="6" t="s">
        <v>56</v>
      </c>
      <c r="D80" s="6" t="s">
        <v>20</v>
      </c>
      <c r="E80" s="6" t="s">
        <v>33</v>
      </c>
      <c r="F80" s="6" t="s">
        <v>109</v>
      </c>
      <c r="G80" s="7" t="n">
        <v>95782</v>
      </c>
      <c r="H80" s="6" t="n">
        <v>142</v>
      </c>
      <c r="I80" s="7" t="n">
        <v>50425</v>
      </c>
    </row>
    <row r="81" customFormat="false" ht="15" hidden="false" customHeight="false" outlineLevel="0" collapsed="false">
      <c r="B81" s="6" t="s">
        <v>133</v>
      </c>
      <c r="C81" s="6" t="s">
        <v>56</v>
      </c>
      <c r="D81" s="6" t="s">
        <v>20</v>
      </c>
      <c r="E81" s="6" t="s">
        <v>55</v>
      </c>
      <c r="F81" s="6" t="s">
        <v>81</v>
      </c>
      <c r="G81" s="7" t="n">
        <v>61230</v>
      </c>
      <c r="H81" s="6" t="n">
        <v>143</v>
      </c>
      <c r="I81" s="7" t="n">
        <v>38697</v>
      </c>
    </row>
    <row r="82" customFormat="false" ht="15" hidden="false" customHeight="false" outlineLevel="0" collapsed="false">
      <c r="B82" s="6" t="s">
        <v>134</v>
      </c>
      <c r="C82" s="6" t="s">
        <v>56</v>
      </c>
      <c r="D82" s="6" t="s">
        <v>25</v>
      </c>
      <c r="E82" s="6" t="s">
        <v>31</v>
      </c>
      <c r="F82" s="6" t="s">
        <v>81</v>
      </c>
      <c r="G82" s="7" t="n">
        <v>3684</v>
      </c>
      <c r="H82" s="6" t="n">
        <v>89</v>
      </c>
      <c r="I82" s="7" t="n">
        <v>2274</v>
      </c>
    </row>
    <row r="83" customFormat="false" ht="15" hidden="false" customHeight="false" outlineLevel="0" collapsed="false">
      <c r="B83" s="6" t="s">
        <v>133</v>
      </c>
      <c r="C83" s="6" t="s">
        <v>56</v>
      </c>
      <c r="D83" s="6" t="s">
        <v>25</v>
      </c>
      <c r="E83" s="6" t="s">
        <v>27</v>
      </c>
      <c r="F83" s="6" t="s">
        <v>81</v>
      </c>
      <c r="G83" s="7" t="n">
        <v>5651</v>
      </c>
      <c r="H83" s="6" t="n">
        <v>93</v>
      </c>
      <c r="I83" s="7" t="n">
        <v>3185</v>
      </c>
    </row>
    <row r="84" customFormat="false" ht="15" hidden="false" customHeight="false" outlineLevel="0" collapsed="false">
      <c r="B84" s="6" t="s">
        <v>135</v>
      </c>
      <c r="C84" s="6" t="s">
        <v>57</v>
      </c>
      <c r="D84" s="6" t="s">
        <v>20</v>
      </c>
      <c r="E84" s="6" t="s">
        <v>33</v>
      </c>
      <c r="F84" s="6" t="s">
        <v>80</v>
      </c>
      <c r="G84" s="7" t="n">
        <v>118402</v>
      </c>
      <c r="H84" s="6" t="n">
        <v>195</v>
      </c>
      <c r="I84" s="7" t="n">
        <v>82198</v>
      </c>
    </row>
    <row r="85" customFormat="false" ht="15" hidden="false" customHeight="false" outlineLevel="0" collapsed="false">
      <c r="B85" s="6" t="s">
        <v>136</v>
      </c>
      <c r="C85" s="6" t="s">
        <v>57</v>
      </c>
      <c r="D85" s="6" t="s">
        <v>20</v>
      </c>
      <c r="E85" s="6" t="s">
        <v>55</v>
      </c>
      <c r="F85" s="6" t="s">
        <v>75</v>
      </c>
      <c r="G85" s="7" t="n">
        <v>4889</v>
      </c>
      <c r="H85" s="6" t="n">
        <v>13</v>
      </c>
      <c r="I85" s="7" t="n">
        <v>3067</v>
      </c>
    </row>
    <row r="86" customFormat="false" ht="15" hidden="false" customHeight="false" outlineLevel="0" collapsed="false">
      <c r="B86" s="6" t="s">
        <v>137</v>
      </c>
      <c r="C86" s="6" t="s">
        <v>57</v>
      </c>
      <c r="D86" s="6" t="s">
        <v>25</v>
      </c>
      <c r="E86" s="6" t="s">
        <v>27</v>
      </c>
      <c r="F86" s="6" t="s">
        <v>78</v>
      </c>
      <c r="G86" s="7" t="n">
        <v>6593</v>
      </c>
      <c r="H86" s="6" t="n">
        <v>115</v>
      </c>
      <c r="I86" s="7" t="n">
        <v>4470</v>
      </c>
    </row>
    <row r="87" customFormat="false" ht="15" hidden="false" customHeight="false" outlineLevel="0" collapsed="false">
      <c r="B87" s="6" t="s">
        <v>127</v>
      </c>
      <c r="C87" s="6" t="s">
        <v>57</v>
      </c>
      <c r="D87" s="6" t="s">
        <v>25</v>
      </c>
      <c r="E87" s="6" t="s">
        <v>58</v>
      </c>
      <c r="F87" s="6" t="s">
        <v>81</v>
      </c>
      <c r="G87" s="7" t="n">
        <v>15702</v>
      </c>
      <c r="H87" s="6" t="n">
        <v>176</v>
      </c>
      <c r="I87" s="7" t="n">
        <v>8817</v>
      </c>
    </row>
    <row r="88" customFormat="false" ht="15" hidden="false" customHeight="false" outlineLevel="0" collapsed="false">
      <c r="B88" s="6" t="s">
        <v>138</v>
      </c>
      <c r="C88" s="6" t="s">
        <v>51</v>
      </c>
      <c r="D88" s="6" t="s">
        <v>20</v>
      </c>
      <c r="E88" s="6" t="s">
        <v>33</v>
      </c>
      <c r="F88" s="6" t="s">
        <v>73</v>
      </c>
      <c r="G88" s="7" t="n">
        <v>65301</v>
      </c>
      <c r="H88" s="6" t="n">
        <v>104</v>
      </c>
      <c r="I88" s="7" t="n">
        <v>37198</v>
      </c>
    </row>
    <row r="89" customFormat="false" ht="15" hidden="false" customHeight="false" outlineLevel="0" collapsed="false">
      <c r="B89" s="6" t="s">
        <v>139</v>
      </c>
      <c r="C89" s="6" t="s">
        <v>51</v>
      </c>
      <c r="D89" s="6" t="s">
        <v>20</v>
      </c>
      <c r="E89" s="6" t="s">
        <v>52</v>
      </c>
      <c r="F89" s="6" t="s">
        <v>109</v>
      </c>
      <c r="G89" s="7" t="n">
        <v>99725</v>
      </c>
      <c r="H89" s="6" t="n">
        <v>84</v>
      </c>
      <c r="I89" s="7" t="n">
        <v>57641</v>
      </c>
    </row>
    <row r="90" customFormat="false" ht="15" hidden="false" customHeight="false" outlineLevel="0" collapsed="false">
      <c r="B90" s="6" t="s">
        <v>140</v>
      </c>
      <c r="C90" s="6" t="s">
        <v>51</v>
      </c>
      <c r="D90" s="6" t="s">
        <v>25</v>
      </c>
      <c r="E90" s="6" t="s">
        <v>54</v>
      </c>
      <c r="F90" s="6" t="s">
        <v>75</v>
      </c>
      <c r="G90" s="7" t="n">
        <v>2490</v>
      </c>
      <c r="H90" s="6" t="n">
        <v>106</v>
      </c>
      <c r="I90" s="7" t="n">
        <v>1618</v>
      </c>
    </row>
    <row r="91" customFormat="false" ht="15" hidden="false" customHeight="false" outlineLevel="0" collapsed="false">
      <c r="B91" s="6" t="s">
        <v>141</v>
      </c>
      <c r="C91" s="6" t="s">
        <v>51</v>
      </c>
      <c r="D91" s="6" t="s">
        <v>25</v>
      </c>
      <c r="E91" s="6" t="s">
        <v>58</v>
      </c>
      <c r="F91" s="6" t="s">
        <v>109</v>
      </c>
      <c r="G91" s="7" t="n">
        <v>3559</v>
      </c>
      <c r="H91" s="6" t="n">
        <v>44</v>
      </c>
      <c r="I91" s="7" t="n">
        <v>1780</v>
      </c>
    </row>
    <row r="92" customFormat="false" ht="15" hidden="false" customHeight="false" outlineLevel="0" collapsed="false">
      <c r="B92" s="6" t="s">
        <v>142</v>
      </c>
      <c r="C92" s="6" t="s">
        <v>53</v>
      </c>
      <c r="D92" s="6" t="s">
        <v>20</v>
      </c>
      <c r="E92" s="6" t="s">
        <v>52</v>
      </c>
      <c r="F92" s="6" t="s">
        <v>80</v>
      </c>
      <c r="G92" s="7" t="n">
        <v>77955</v>
      </c>
      <c r="H92" s="6" t="n">
        <v>68</v>
      </c>
      <c r="I92" s="7" t="n">
        <v>41870</v>
      </c>
    </row>
    <row r="93" customFormat="false" ht="15" hidden="false" customHeight="false" outlineLevel="0" collapsed="false">
      <c r="B93" s="6" t="s">
        <v>139</v>
      </c>
      <c r="C93" s="6" t="s">
        <v>53</v>
      </c>
      <c r="D93" s="6" t="s">
        <v>20</v>
      </c>
      <c r="E93" s="6" t="s">
        <v>33</v>
      </c>
      <c r="F93" s="6" t="s">
        <v>109</v>
      </c>
      <c r="G93" s="7" t="n">
        <v>38328</v>
      </c>
      <c r="H93" s="6" t="n">
        <v>64</v>
      </c>
      <c r="I93" s="7" t="n">
        <v>19459</v>
      </c>
    </row>
    <row r="94" customFormat="false" ht="15" hidden="false" customHeight="false" outlineLevel="0" collapsed="false">
      <c r="B94" s="6" t="s">
        <v>143</v>
      </c>
      <c r="C94" s="6" t="s">
        <v>53</v>
      </c>
      <c r="D94" s="6" t="s">
        <v>25</v>
      </c>
      <c r="E94" s="6" t="s">
        <v>54</v>
      </c>
      <c r="F94" s="6" t="s">
        <v>78</v>
      </c>
      <c r="G94" s="7" t="n">
        <v>1911</v>
      </c>
      <c r="H94" s="6" t="n">
        <v>81</v>
      </c>
      <c r="I94" s="7" t="n">
        <v>1257</v>
      </c>
    </row>
    <row r="95" customFormat="false" ht="15" hidden="false" customHeight="false" outlineLevel="0" collapsed="false">
      <c r="B95" s="6" t="s">
        <v>138</v>
      </c>
      <c r="C95" s="6" t="s">
        <v>53</v>
      </c>
      <c r="D95" s="6" t="s">
        <v>25</v>
      </c>
      <c r="E95" s="6" t="s">
        <v>31</v>
      </c>
      <c r="F95" s="6" t="s">
        <v>81</v>
      </c>
      <c r="G95" s="7" t="n">
        <v>5329</v>
      </c>
      <c r="H95" s="6" t="n">
        <v>129</v>
      </c>
      <c r="I95" s="7" t="n">
        <v>3485</v>
      </c>
    </row>
    <row r="96" customFormat="false" ht="15" hidden="false" customHeight="false" outlineLevel="0" collapsed="false">
      <c r="B96" s="6" t="s">
        <v>144</v>
      </c>
      <c r="C96" s="6" t="s">
        <v>56</v>
      </c>
      <c r="D96" s="6" t="s">
        <v>20</v>
      </c>
      <c r="E96" s="6" t="s">
        <v>55</v>
      </c>
      <c r="F96" s="6" t="s">
        <v>81</v>
      </c>
      <c r="G96" s="7" t="n">
        <v>13991</v>
      </c>
      <c r="H96" s="6" t="n">
        <v>35</v>
      </c>
      <c r="I96" s="7" t="n">
        <v>9315</v>
      </c>
    </row>
    <row r="97" customFormat="false" ht="15" hidden="false" customHeight="false" outlineLevel="0" collapsed="false">
      <c r="B97" s="6" t="s">
        <v>141</v>
      </c>
      <c r="C97" s="6" t="s">
        <v>56</v>
      </c>
      <c r="D97" s="6" t="s">
        <v>20</v>
      </c>
      <c r="E97" s="6" t="s">
        <v>52</v>
      </c>
      <c r="F97" s="6" t="s">
        <v>75</v>
      </c>
      <c r="G97" s="7" t="n">
        <v>81329</v>
      </c>
      <c r="H97" s="6" t="n">
        <v>62</v>
      </c>
      <c r="I97" s="7" t="n">
        <v>41068</v>
      </c>
    </row>
    <row r="98" customFormat="false" ht="15" hidden="false" customHeight="false" outlineLevel="0" collapsed="false">
      <c r="B98" s="6" t="s">
        <v>145</v>
      </c>
      <c r="C98" s="6" t="s">
        <v>56</v>
      </c>
      <c r="D98" s="6" t="s">
        <v>25</v>
      </c>
      <c r="E98" s="6" t="s">
        <v>54</v>
      </c>
      <c r="F98" s="6" t="s">
        <v>81</v>
      </c>
      <c r="G98" s="7" t="n">
        <v>2053</v>
      </c>
      <c r="H98" s="6" t="n">
        <v>80</v>
      </c>
      <c r="I98" s="7" t="n">
        <v>1318</v>
      </c>
    </row>
    <row r="99" customFormat="false" ht="15" hidden="false" customHeight="false" outlineLevel="0" collapsed="false">
      <c r="B99" s="6" t="s">
        <v>146</v>
      </c>
      <c r="C99" s="6" t="s">
        <v>56</v>
      </c>
      <c r="D99" s="6" t="s">
        <v>25</v>
      </c>
      <c r="E99" s="6" t="s">
        <v>58</v>
      </c>
      <c r="F99" s="6" t="s">
        <v>81</v>
      </c>
      <c r="G99" s="7" t="n">
        <v>6944</v>
      </c>
      <c r="H99" s="6" t="n">
        <v>89</v>
      </c>
      <c r="I99" s="7" t="n">
        <v>4322</v>
      </c>
    </row>
    <row r="100" customFormat="false" ht="15" hidden="false" customHeight="false" outlineLevel="0" collapsed="false">
      <c r="B100" s="6" t="s">
        <v>147</v>
      </c>
      <c r="C100" s="6" t="s">
        <v>57</v>
      </c>
      <c r="D100" s="6" t="s">
        <v>20</v>
      </c>
      <c r="E100" s="6" t="s">
        <v>55</v>
      </c>
      <c r="F100" s="6" t="s">
        <v>78</v>
      </c>
      <c r="G100" s="7" t="n">
        <v>77665</v>
      </c>
      <c r="H100" s="6" t="n">
        <v>179</v>
      </c>
      <c r="I100" s="7" t="n">
        <v>46310</v>
      </c>
    </row>
    <row r="101" customFormat="false" ht="15" hidden="false" customHeight="false" outlineLevel="0" collapsed="false">
      <c r="B101" s="6" t="s">
        <v>148</v>
      </c>
      <c r="C101" s="6" t="s">
        <v>57</v>
      </c>
      <c r="D101" s="6" t="s">
        <v>20</v>
      </c>
      <c r="E101" s="6" t="s">
        <v>33</v>
      </c>
      <c r="F101" s="6" t="s">
        <v>73</v>
      </c>
      <c r="G101" s="7" t="n">
        <v>72295</v>
      </c>
      <c r="H101" s="6" t="n">
        <v>120</v>
      </c>
      <c r="I101" s="7" t="n">
        <v>38416</v>
      </c>
    </row>
    <row r="102" customFormat="false" ht="15" hidden="false" customHeight="false" outlineLevel="0" collapsed="false">
      <c r="B102" s="6" t="s">
        <v>143</v>
      </c>
      <c r="C102" s="6" t="s">
        <v>57</v>
      </c>
      <c r="D102" s="6" t="s">
        <v>25</v>
      </c>
      <c r="E102" s="6" t="s">
        <v>54</v>
      </c>
      <c r="F102" s="6" t="s">
        <v>75</v>
      </c>
      <c r="G102" s="7" t="n">
        <v>3744</v>
      </c>
      <c r="H102" s="6" t="n">
        <v>148</v>
      </c>
      <c r="I102" s="7" t="n">
        <v>2044</v>
      </c>
    </row>
    <row r="103" customFormat="false" ht="15" hidden="false" customHeight="false" outlineLevel="0" collapsed="false">
      <c r="B103" s="6" t="s">
        <v>149</v>
      </c>
      <c r="C103" s="6" t="s">
        <v>57</v>
      </c>
      <c r="D103" s="6" t="s">
        <v>25</v>
      </c>
      <c r="E103" s="6" t="s">
        <v>31</v>
      </c>
      <c r="F103" s="6" t="s">
        <v>80</v>
      </c>
      <c r="G103" s="7" t="n">
        <v>3074</v>
      </c>
      <c r="H103" s="6" t="n">
        <v>64</v>
      </c>
      <c r="I103" s="7" t="n">
        <v>2090</v>
      </c>
    </row>
  </sheetData>
  <mergeCells count="3">
    <mergeCell ref="A1:J2"/>
    <mergeCell ref="A3:J3"/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151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B5" s="13" t="s">
        <v>152</v>
      </c>
      <c r="C5" s="13"/>
      <c r="D5" s="13"/>
      <c r="E5" s="13"/>
      <c r="F5" s="13"/>
      <c r="G5" s="13"/>
      <c r="H5" s="13"/>
      <c r="I5" s="13"/>
    </row>
    <row r="6" customFormat="false" ht="15" hidden="false" customHeight="true" outlineLevel="0" collapsed="false">
      <c r="B6" s="13" t="s">
        <v>153</v>
      </c>
      <c r="C6" s="13"/>
      <c r="D6" s="13"/>
      <c r="E6" s="13"/>
      <c r="F6" s="13"/>
      <c r="G6" s="13"/>
      <c r="H6" s="13"/>
      <c r="I6" s="13"/>
    </row>
    <row r="7" customFormat="false" ht="15" hidden="false" customHeight="true" outlineLevel="0" collapsed="false">
      <c r="B7" s="13" t="s">
        <v>154</v>
      </c>
      <c r="C7" s="13"/>
      <c r="D7" s="13"/>
      <c r="E7" s="13"/>
      <c r="F7" s="13"/>
      <c r="G7" s="13"/>
      <c r="H7" s="13"/>
      <c r="I7" s="13"/>
    </row>
    <row r="8" customFormat="false" ht="15" hidden="false" customHeight="true" outlineLevel="0" collapsed="false">
      <c r="B8" s="13" t="s">
        <v>155</v>
      </c>
      <c r="C8" s="13"/>
      <c r="D8" s="13"/>
      <c r="E8" s="13"/>
      <c r="F8" s="13"/>
      <c r="G8" s="13"/>
      <c r="H8" s="13"/>
      <c r="I8" s="13"/>
    </row>
    <row r="9" customFormat="false" ht="15" hidden="false" customHeight="true" outlineLevel="0" collapsed="false">
      <c r="B9" s="13" t="s">
        <v>156</v>
      </c>
      <c r="C9" s="13"/>
      <c r="D9" s="13"/>
      <c r="E9" s="13"/>
      <c r="F9" s="13"/>
      <c r="G9" s="13"/>
      <c r="H9" s="13"/>
      <c r="I9" s="13"/>
    </row>
    <row r="10" customFormat="false" ht="15" hidden="false" customHeight="true" outlineLevel="0" collapsed="false">
      <c r="B10" s="13" t="s">
        <v>157</v>
      </c>
      <c r="C10" s="13"/>
      <c r="D10" s="13"/>
      <c r="E10" s="13"/>
      <c r="F10" s="13"/>
      <c r="G10" s="13"/>
      <c r="H10" s="13"/>
      <c r="I10" s="13"/>
    </row>
    <row r="11" customFormat="false" ht="15" hidden="false" customHeight="true" outlineLevel="0" collapsed="false">
      <c r="B11" s="13" t="s">
        <v>158</v>
      </c>
      <c r="C11" s="13"/>
      <c r="D11" s="13"/>
      <c r="E11" s="13"/>
      <c r="F11" s="13"/>
      <c r="G11" s="13"/>
      <c r="H11" s="13"/>
      <c r="I11" s="13"/>
    </row>
    <row r="12" customFormat="false" ht="15" hidden="false" customHeight="true" outlineLevel="0" collapsed="false">
      <c r="B12" s="13" t="s">
        <v>159</v>
      </c>
      <c r="C12" s="13"/>
      <c r="D12" s="13"/>
      <c r="E12" s="13"/>
      <c r="F12" s="13"/>
      <c r="G12" s="13"/>
      <c r="H12" s="13"/>
      <c r="I12" s="13"/>
    </row>
    <row r="13" customFormat="false" ht="15" hidden="false" customHeight="true" outlineLevel="0" collapsed="false">
      <c r="B13" s="13" t="s">
        <v>160</v>
      </c>
      <c r="C13" s="13"/>
      <c r="D13" s="13"/>
      <c r="E13" s="13"/>
      <c r="F13" s="13"/>
      <c r="G13" s="13"/>
      <c r="H13" s="13"/>
      <c r="I13" s="13"/>
    </row>
    <row r="14" customFormat="false" ht="15" hidden="false" customHeight="true" outlineLevel="0" collapsed="false">
      <c r="B14" s="13" t="s">
        <v>161</v>
      </c>
      <c r="C14" s="13"/>
      <c r="D14" s="13"/>
      <c r="E14" s="13"/>
      <c r="F14" s="13"/>
      <c r="G14" s="13"/>
      <c r="H14" s="13"/>
      <c r="I14" s="13"/>
    </row>
  </sheetData>
  <mergeCells count="12">
    <mergeCell ref="A1:J2"/>
    <mergeCell ref="A3:J3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2026-03-20T17:34:58Z</dcterms:created>
  <dc:creator>openpyxl</dc:creator>
  <dc:description/>
  <dc:language>en-US</dc:language>
  <cp:lastModifiedBy/>
  <dcterms:modified xsi:type="dcterms:W3CDTF">2026-03-20T17:34:58Z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