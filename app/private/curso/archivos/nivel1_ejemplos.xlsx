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dex" sheetId="1" state="visible" r:id="rId1"/>
    <sheet name="Tipos de Datos" sheetId="2" state="visible" r:id="rId2"/>
    <sheet name="Formulas" sheetId="3" state="visible" r:id="rId3"/>
    <sheet name="References" sheetId="4" state="visible" r:id="rId4"/>
    <sheet name="Funciones" sheetId="5" state="visible" r:id="rId5"/>
    <sheet name="Cond Formatting" sheetId="6" state="visible" r:id="rId6"/>
    <sheet name="Sort Filter" sheetId="7" state="visible" r:id="rId7"/>
    <sheet name="Charts Data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EDCAD0"/>
      <sz val="10"/>
    </font>
    <font>
      <name val="Arial"/>
      <charset val="1"/>
      <family val="0"/>
      <b val="1"/>
      <color rgb="FF7B1D32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520F1E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A1A1A"/>
      <sz val="10"/>
    </font>
    <font>
      <name val="Arial"/>
      <charset val="1"/>
      <family val="0"/>
      <color rgb="FFBF360C"/>
      <sz val="10"/>
    </font>
    <font>
      <name val="Arial"/>
      <charset val="1"/>
      <family val="0"/>
      <color rgb="FF1B5E2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7B1D32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7B1D32"/>
        <bgColor rgb="FF520F1E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1B5E2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520F1E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EDCAD0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'Charts Data'!C6</f>
              <strCache>
                <ptCount val="1"/>
                <pt idx="0">
                  <v>Sales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'Charts Data'!$B$7:$B$9</f>
              <strCache>
                <ptCount val="3"/>
                <pt idx="0">
                  <v>Norte</v>
                </pt>
                <pt idx="1">
                  <v>Sur</v>
                </pt>
                <pt idx="2">
                  <v>Este</v>
                </pt>
              </strCache>
            </strRef>
          </cat>
          <val>
            <numRef>
              <f>'Charts Data'!$C$7:$C$9</f>
              <numCache>
                <formatCode>#,##0</formatCode>
                <ptCount val="3"/>
                <pt idx="0">
                  <v>83200</v>
                </pt>
                <pt idx="1">
                  <v>49800</v>
                </pt>
                <pt idx="2">
                  <v>31200</v>
                </pt>
              </numCache>
            </numRef>
          </val>
        </ser>
        <gapWidth val="150"/>
        <overlap val="0"/>
        <axId val="16455014"/>
        <axId val="49508397"/>
      </barChart>
      <catAx>
        <axId val="1645501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508397"/>
        <crosses val="autoZero"/>
        <auto val="1"/>
        <lblAlgn val="ctr"/>
        <lblOffset val="100"/>
        <noMultiLvlLbl val="0"/>
      </catAx>
      <valAx>
        <axId val="49508397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455014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'Charts Data'!C14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4a7ebb"/>
            </a:solidFill>
            <a:ln w="4752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'Charts Data'!$B$15:$B$20</f>
              <strCache>
                <ptCount val="6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</strCache>
            </strRef>
          </cat>
          <val>
            <numRef>
              <f>'Charts Data'!$C$15:$C$20</f>
              <numCache>
                <formatCode>#,##0</formatCode>
                <ptCount val="6"/>
                <pt idx="0">
                  <v>45000</v>
                </pt>
                <pt idx="1">
                  <v>52000</v>
                </pt>
                <pt idx="2">
                  <v>48000</v>
                </pt>
                <pt idx="3">
                  <v>61000</v>
                </pt>
                <pt idx="4">
                  <v>58000</v>
                </pt>
                <pt idx="5">
                  <v>72000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39510409"/>
        <axId val="3695270"/>
      </lineChart>
      <catAx>
        <axId val="3951040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95270"/>
        <crosses val="autoZero"/>
        <auto val="1"/>
        <lblAlgn val="ctr"/>
        <lblOffset val="100"/>
        <noMultiLvlLbl val="0"/>
      </catAx>
      <valAx>
        <axId val="369527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9510409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'Charts Data'!C24</f>
              <strCache>
                <ptCount val="1"/>
                <pt idx="0">
                  <v>Sales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>
                <a:srgbClr val="c0504d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'Charts Data'!$B$25:$B$26</f>
              <strCache>
                <ptCount val="2"/>
                <pt idx="0">
                  <v>Electronics</v>
                </pt>
                <pt idx="1">
                  <v>Accessories</v>
                </pt>
              </strCache>
            </strRef>
          </cat>
          <val>
            <numRef>
              <f>'Charts Data'!$C$25:$C$26</f>
              <numCache>
                <formatCode>#,##0</formatCode>
                <ptCount val="2"/>
                <pt idx="0">
                  <v>219000</v>
                </pt>
                <pt idx="1">
                  <v>35300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4</row>
      <rowOff>0</rowOff>
    </from>
    <to>
      <col>11</col>
      <colOff>17640</colOff>
      <row>26</row>
      <rowOff>84960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4</col>
      <colOff>0</colOff>
      <row>12</row>
      <rowOff>175680</rowOff>
    </from>
    <to>
      <col>11</col>
      <colOff>17640</colOff>
      <row>35</row>
      <rowOff>84600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4</col>
      <colOff>0</colOff>
      <row>22</row>
      <rowOff>161280</rowOff>
    </from>
    <to>
      <col>8</col>
      <colOff>528480</colOff>
      <row>45</row>
      <rowOff>84960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FF5C480F"/>
    <outlinePr summaryBelow="1" summaryRight="1"/>
    <pageSetUpPr fitToPage="0"/>
  </sheetPr>
  <dimension ref="A1:J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6" customWidth="1" style="24" min="2" max="9"/>
    <col width="3" customWidth="1" style="24" min="10" max="10"/>
  </cols>
  <sheetData>
    <row r="1" ht="27.75" customHeight="1" s="25">
      <c r="A1" s="26" t="inlineStr">
        <is>
          <t>Nivel 1 — Ejemplos</t>
        </is>
      </c>
    </row>
    <row r="2" ht="13.5" customHeight="1" s="25"/>
    <row r="3" ht="21.75" customHeight="1" s="25">
      <c r="A3" s="27" t="inlineStr">
        <is>
          <t xml:space="preserve">  Workbook de referencia con ejemplos resueltos para cada modulo</t>
        </is>
      </c>
    </row>
    <row r="5" ht="15" customHeight="1" s="25">
      <c r="B5" s="28" t="inlineStr">
        <is>
          <t>Tipos de Datos</t>
        </is>
      </c>
      <c r="C5" s="29" t="inlineStr">
        <is>
          <t>Mod 1: Tipos de datos, Number Formats, interpretacion</t>
        </is>
      </c>
    </row>
    <row r="6" ht="15" customHeight="1" s="25">
      <c r="B6" s="28" t="inlineStr">
        <is>
          <t>Formulas</t>
        </is>
      </c>
      <c r="C6" s="29" t="inlineStr">
        <is>
          <t>Mod 2: Operadores, orden de operaciones, referencias</t>
        </is>
      </c>
    </row>
    <row r="7" ht="15" customHeight="1" s="25">
      <c r="B7" s="28" t="inlineStr">
        <is>
          <t>References</t>
        </is>
      </c>
      <c r="C7" s="29" t="inlineStr">
        <is>
          <t>Mod 3: Relative References, Fill Handle, verificacion</t>
        </is>
      </c>
    </row>
    <row r="8" ht="15" customHeight="1" s="25">
      <c r="B8" s="28" t="inlineStr">
        <is>
          <t>Funciones</t>
        </is>
      </c>
      <c r="C8" s="29" t="inlineStr">
        <is>
          <t>Mod 4: SUM, AVERAGE, COUNT, COUNTA, MAX, MIN en caso real</t>
        </is>
      </c>
    </row>
    <row r="9" ht="15" customHeight="1" s="25">
      <c r="B9" s="28" t="inlineStr">
        <is>
          <t>Cond Formatting</t>
        </is>
      </c>
      <c r="C9" s="29" t="inlineStr">
        <is>
          <t>Mod 5: Highlight Rules, Top/Bottom, Data Bars, Color Scales</t>
        </is>
      </c>
    </row>
    <row r="10" ht="15" customHeight="1" s="25">
      <c r="B10" s="28" t="inlineStr">
        <is>
          <t>Sort Filter</t>
        </is>
      </c>
      <c r="C10" s="29" t="inlineStr">
        <is>
          <t>Mod 6: Datos para practicar Sort y Filter</t>
        </is>
      </c>
    </row>
    <row r="11" ht="15" customHeight="1" s="25">
      <c r="B11" s="28" t="inlineStr">
        <is>
          <t>Charts Data</t>
        </is>
      </c>
      <c r="C11" s="29" t="inlineStr">
        <is>
          <t>Mod 7: Datos y ejemplos de Column, Line y Pie Charts</t>
        </is>
      </c>
    </row>
  </sheetData>
  <mergeCells count="9">
    <mergeCell ref="A1:J2"/>
    <mergeCell ref="C9:I9"/>
    <mergeCell ref="C8:I8"/>
    <mergeCell ref="A3:J3"/>
    <mergeCell ref="C6:I6"/>
    <mergeCell ref="C7:I7"/>
    <mergeCell ref="C10:I10"/>
    <mergeCell ref="C11:I11"/>
    <mergeCell ref="C5:I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6" customWidth="1" style="24" min="2" max="9"/>
    <col width="3" customWidth="1" style="24" min="10" max="10"/>
  </cols>
  <sheetData>
    <row r="1" ht="27.75" customHeight="1" s="25">
      <c r="A1" s="26" t="inlineStr">
        <is>
          <t>Tipos de datos y Number Formats</t>
        </is>
      </c>
    </row>
    <row r="2" ht="13.5" customHeight="1" s="25"/>
    <row r="3" ht="21.75" customHeight="1" s="25">
      <c r="A3" s="27" t="inlineStr">
        <is>
          <t xml:space="preserve">  Modulo 1 — Como Excel interpreta y muestra diferentes tipos de datos</t>
        </is>
      </c>
    </row>
    <row r="5" ht="16.15" customHeight="1" s="25">
      <c r="B5" s="30" t="inlineStr">
        <is>
          <t>Valor almacenado</t>
        </is>
      </c>
      <c r="E5" s="30" t="inlineStr">
        <is>
          <t>Con Number Format aplicado</t>
        </is>
      </c>
    </row>
    <row r="7" ht="15" customHeight="1" s="25">
      <c r="B7" s="31" t="inlineStr">
        <is>
          <t>Escribes esto</t>
        </is>
      </c>
      <c r="C7" s="31" t="inlineStr">
        <is>
          <t>Excel almacena</t>
        </is>
      </c>
      <c r="D7" s="31" t="inlineStr">
        <is>
          <t>Tipo</t>
        </is>
      </c>
      <c r="E7" s="31" t="inlineStr">
        <is>
          <t>Formato aplicado</t>
        </is>
      </c>
      <c r="F7" s="31" t="inlineStr">
        <is>
          <t>Se muestra como</t>
        </is>
      </c>
    </row>
    <row r="8" ht="15" customHeight="1" s="25">
      <c r="B8" s="32" t="inlineStr">
        <is>
          <t>123</t>
        </is>
      </c>
      <c r="C8" s="32" t="inlineStr">
        <is>
          <t>123</t>
        </is>
      </c>
      <c r="D8" s="33" t="inlineStr">
        <is>
          <t>Number</t>
        </is>
      </c>
      <c r="E8" s="32" t="inlineStr">
        <is>
          <t>Number #,##0</t>
        </is>
      </c>
      <c r="F8" s="34" t="inlineStr">
        <is>
          <t>123</t>
        </is>
      </c>
    </row>
    <row r="9" ht="15" customHeight="1" s="25">
      <c r="B9" s="32" t="inlineStr">
        <is>
          <t>15.75</t>
        </is>
      </c>
      <c r="C9" s="32" t="inlineStr">
        <is>
          <t>15.75</t>
        </is>
      </c>
      <c r="D9" s="33" t="inlineStr">
        <is>
          <t>Number</t>
        </is>
      </c>
      <c r="E9" s="32" t="inlineStr">
        <is>
          <t>Currency $#,##0.00</t>
        </is>
      </c>
      <c r="F9" s="34" t="inlineStr">
        <is>
          <t>$15.75</t>
        </is>
      </c>
    </row>
    <row r="10" ht="15" customHeight="1" s="25">
      <c r="B10" s="32" t="inlineStr">
        <is>
          <t>0.15</t>
        </is>
      </c>
      <c r="C10" s="32" t="inlineStr">
        <is>
          <t>0.15</t>
        </is>
      </c>
      <c r="D10" s="33" t="inlineStr">
        <is>
          <t>Number</t>
        </is>
      </c>
      <c r="E10" s="32" t="inlineStr">
        <is>
          <t>Percentage 0%</t>
        </is>
      </c>
      <c r="F10" s="34" t="inlineStr">
        <is>
          <t>15%</t>
        </is>
      </c>
    </row>
    <row r="11" ht="15" customHeight="1" s="25">
      <c r="B11" s="32" t="inlineStr">
        <is>
          <t>001234</t>
        </is>
      </c>
      <c r="C11" s="32" t="inlineStr">
        <is>
          <t>1234</t>
        </is>
      </c>
      <c r="D11" s="33" t="inlineStr">
        <is>
          <t>Number (pierde ceros)</t>
        </is>
      </c>
      <c r="E11" s="32" t="inlineStr">
        <is>
          <t>Text</t>
        </is>
      </c>
      <c r="F11" s="34" t="inlineStr">
        <is>
          <t>001234</t>
        </is>
      </c>
    </row>
    <row r="12" ht="15" customHeight="1" s="25">
      <c r="B12" s="32" t="inlineStr">
        <is>
          <t>3/4/2025</t>
        </is>
      </c>
      <c r="C12" s="32" t="inlineStr">
        <is>
          <t>3/4/2025</t>
        </is>
      </c>
      <c r="D12" s="33" t="inlineStr">
        <is>
          <t>Date</t>
        </is>
      </c>
      <c r="E12" s="32" t="inlineStr">
        <is>
          <t>DD-MMM-YYYY</t>
        </is>
      </c>
      <c r="F12" s="34" t="inlineStr">
        <is>
          <t>04-Mar-2025</t>
        </is>
      </c>
    </row>
    <row r="13" ht="15" customHeight="1" s="25">
      <c r="B13" s="32" t="inlineStr">
        <is>
          <t>Hello</t>
        </is>
      </c>
      <c r="C13" s="32" t="inlineStr">
        <is>
          <t>Hello</t>
        </is>
      </c>
      <c r="D13" s="33" t="inlineStr">
        <is>
          <t>Text</t>
        </is>
      </c>
      <c r="E13" s="32" t="inlineStr">
        <is>
          <t>General</t>
        </is>
      </c>
      <c r="F13" s="34" t="inlineStr">
        <is>
          <t>Hello</t>
        </is>
      </c>
    </row>
    <row r="14" ht="15" customHeight="1" s="25">
      <c r="B14" s="32" t="inlineStr">
        <is>
          <t>TRUE</t>
        </is>
      </c>
      <c r="C14" s="32" t="inlineStr">
        <is>
          <t>True</t>
        </is>
      </c>
      <c r="D14" s="33" t="inlineStr">
        <is>
          <t>Boolean</t>
        </is>
      </c>
      <c r="E14" s="32" t="inlineStr">
        <is>
          <t>General</t>
        </is>
      </c>
      <c r="F14" s="34" t="inlineStr">
        <is>
          <t>TRUE</t>
        </is>
      </c>
    </row>
    <row r="17" ht="16.15" customHeight="1" s="25">
      <c r="B17" s="30" t="inlineStr">
        <is>
          <t>Problemas comunes de interpretacion:</t>
        </is>
      </c>
    </row>
    <row r="18" ht="15" customHeight="1" s="25">
      <c r="B18" s="35" t="inlineStr">
        <is>
          <t>001234 se convierte en 1234</t>
        </is>
      </c>
      <c r="D18" s="36" t="inlineStr">
        <is>
          <t>Formatear como Text antes de escribir, o usar apostrofo: '001234</t>
        </is>
      </c>
    </row>
    <row r="19" ht="15" customHeight="1" s="25">
      <c r="B19" s="35" t="inlineStr">
        <is>
          <t>3/4 se convierte en fecha</t>
        </is>
      </c>
      <c r="D19" s="36" t="inlineStr">
        <is>
          <t>Escribir 0 3/4 para fraccion, o formatear como Text</t>
        </is>
      </c>
    </row>
    <row r="20" ht="15" customHeight="1" s="25">
      <c r="B20" s="35" t="inlineStr">
        <is>
          <t>Numero con espacio se trata como texto</t>
        </is>
      </c>
      <c r="D20" s="36" t="inlineStr">
        <is>
          <t>Usar TRIM() para limpiar espacios invisibles</t>
        </is>
      </c>
    </row>
    <row r="21" ht="15" customHeight="1" s="25">
      <c r="B21" s="35" t="inlineStr">
        <is>
          <t>15 con formato % muestra 1500%</t>
        </is>
      </c>
      <c r="D21" s="36" t="inlineStr">
        <is>
          <t>Escribir 0.15 y luego aplicar formato Percentage</t>
        </is>
      </c>
    </row>
  </sheetData>
  <mergeCells count="6">
    <mergeCell ref="D21:H21"/>
    <mergeCell ref="A1:J2"/>
    <mergeCell ref="D20:H20"/>
    <mergeCell ref="A3:J3"/>
    <mergeCell ref="D19:H19"/>
    <mergeCell ref="D18:H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6" customWidth="1" style="24" min="2" max="9"/>
    <col width="3" customWidth="1" style="24" min="10" max="10"/>
  </cols>
  <sheetData>
    <row r="1" ht="27.75" customHeight="1" s="25">
      <c r="A1" s="26" t="inlineStr">
        <is>
          <t>Formulas aritmeticas</t>
        </is>
      </c>
    </row>
    <row r="2" ht="13.5" customHeight="1" s="25"/>
    <row r="3" ht="21.75" customHeight="1" s="25">
      <c r="A3" s="27" t="inlineStr">
        <is>
          <t xml:space="preserve">  Modulo 2 — Operadores, orden de operaciones y referencias</t>
        </is>
      </c>
    </row>
    <row r="5" ht="16.15" customHeight="1" s="25">
      <c r="B5" s="30" t="inlineStr">
        <is>
          <t>Operadores basicos</t>
        </is>
      </c>
    </row>
    <row r="7" ht="15" customHeight="1" s="25">
      <c r="B7" s="31" t="inlineStr">
        <is>
          <t>Formula</t>
        </is>
      </c>
      <c r="C7" s="31" t="inlineStr">
        <is>
          <t>Resultado</t>
        </is>
      </c>
      <c r="D7" s="31" t="inlineStr">
        <is>
          <t>Explicacion</t>
        </is>
      </c>
    </row>
    <row r="8" ht="15" customHeight="1" s="25">
      <c r="B8" s="37">
        <f>5+3</f>
        <v/>
      </c>
      <c r="C8" s="32" t="n">
        <v>8</v>
      </c>
      <c r="D8" s="33" t="inlineStr">
        <is>
          <t>Suma</t>
        </is>
      </c>
    </row>
    <row r="9" ht="15" customHeight="1" s="25">
      <c r="B9" s="37">
        <f>10-4</f>
        <v/>
      </c>
      <c r="C9" s="32" t="n">
        <v>6</v>
      </c>
      <c r="D9" s="33" t="inlineStr">
        <is>
          <t>Resta</t>
        </is>
      </c>
    </row>
    <row r="10" ht="15" customHeight="1" s="25">
      <c r="B10" s="37">
        <f>6*7</f>
        <v/>
      </c>
      <c r="C10" s="32" t="n">
        <v>42</v>
      </c>
      <c r="D10" s="33" t="inlineStr">
        <is>
          <t>Multiplicacion</t>
        </is>
      </c>
    </row>
    <row r="11" ht="15" customHeight="1" s="25">
      <c r="B11" s="37">
        <f>20/4</f>
        <v/>
      </c>
      <c r="C11" s="32" t="n">
        <v>5</v>
      </c>
      <c r="D11" s="33" t="inlineStr">
        <is>
          <t>Division</t>
        </is>
      </c>
    </row>
    <row r="12" ht="15" customHeight="1" s="25">
      <c r="B12" s="37">
        <f>2^3</f>
        <v/>
      </c>
      <c r="C12" s="32" t="n">
        <v>8</v>
      </c>
      <c r="D12" s="33" t="inlineStr">
        <is>
          <t>Potencia (2 elevado a 3)</t>
        </is>
      </c>
    </row>
    <row r="13" ht="15" customHeight="1" s="25">
      <c r="B13" s="37">
        <f>50*15%</f>
        <v/>
      </c>
      <c r="C13" s="32" t="n">
        <v>7.5</v>
      </c>
      <c r="D13" s="33" t="inlineStr">
        <is>
          <t>15% de 50</t>
        </is>
      </c>
    </row>
    <row r="16" ht="16.15" customHeight="1" s="25">
      <c r="B16" s="30" t="inlineStr">
        <is>
          <t>Orden de operaciones</t>
        </is>
      </c>
    </row>
    <row r="18" ht="15" customHeight="1" s="25">
      <c r="B18" s="31" t="inlineStr">
        <is>
          <t>Formula</t>
        </is>
      </c>
      <c r="C18" s="31" t="inlineStr">
        <is>
          <t>Resultado</t>
        </is>
      </c>
      <c r="D18" s="31" t="inlineStr">
        <is>
          <t>Por que</t>
        </is>
      </c>
    </row>
    <row r="19" ht="15" customHeight="1" s="25">
      <c r="B19" s="37">
        <f>2+3*4</f>
        <v/>
      </c>
      <c r="C19" s="32" t="n">
        <v>14</v>
      </c>
      <c r="D19" s="33" t="inlineStr">
        <is>
          <t>Primero 3*4=12, luego 2+12=14</t>
        </is>
      </c>
    </row>
    <row r="20" ht="15" customHeight="1" s="25">
      <c r="B20" s="37">
        <f>(2+3)*4</f>
        <v/>
      </c>
      <c r="C20" s="32" t="n">
        <v>20</v>
      </c>
      <c r="D20" s="33" t="inlineStr">
        <is>
          <t>Parentesis primero: 5*4=20</t>
        </is>
      </c>
    </row>
    <row r="21" ht="15" customHeight="1" s="25">
      <c r="B21" s="37">
        <f>2+3^2</f>
        <v/>
      </c>
      <c r="C21" s="32" t="n">
        <v>11</v>
      </c>
      <c r="D21" s="33" t="inlineStr">
        <is>
          <t>Primero 3^2=9, luego 2+9=11</t>
        </is>
      </c>
    </row>
    <row r="22" ht="15" customHeight="1" s="25">
      <c r="B22" s="37">
        <f>(2+3)^2</f>
        <v/>
      </c>
      <c r="C22" s="32" t="n">
        <v>25</v>
      </c>
      <c r="D22" s="33" t="inlineStr">
        <is>
          <t>Parentesis primero: 5^2=25</t>
        </is>
      </c>
    </row>
    <row r="23" ht="15" customHeight="1" s="25">
      <c r="B23" s="37">
        <f>10/2+3</f>
        <v/>
      </c>
      <c r="C23" s="32" t="n">
        <v>8</v>
      </c>
      <c r="D23" s="33" t="inlineStr">
        <is>
          <t>Primero 10/2=5, luego 5+3=8</t>
        </is>
      </c>
    </row>
    <row r="24" ht="15" customHeight="1" s="25">
      <c r="B24" s="37">
        <f>10/(2+3)</f>
        <v/>
      </c>
      <c r="C24" s="32" t="n">
        <v>2</v>
      </c>
      <c r="D24" s="33" t="inlineStr">
        <is>
          <t>Parentesis primero: 10/5=2</t>
        </is>
      </c>
    </row>
    <row r="27" ht="16.15" customHeight="1" s="25">
      <c r="B27" s="30" t="inlineStr">
        <is>
          <t>Formulas con referencias</t>
        </is>
      </c>
    </row>
    <row r="28" ht="15" customHeight="1" s="25">
      <c r="B28" s="38" t="inlineStr">
        <is>
          <t>Precio</t>
        </is>
      </c>
      <c r="C28" s="38" t="inlineStr">
        <is>
          <t>Cantidad</t>
        </is>
      </c>
      <c r="D28" s="38" t="inlineStr">
        <is>
          <t>Total</t>
        </is>
      </c>
      <c r="E28" s="38" t="inlineStr">
        <is>
          <t>Formula usada</t>
        </is>
      </c>
    </row>
    <row r="29" ht="15" customHeight="1" s="25">
      <c r="B29" s="39" t="n">
        <v>25</v>
      </c>
      <c r="C29" s="32" t="n">
        <v>10</v>
      </c>
      <c r="D29" s="39">
        <f>B29*C29</f>
        <v/>
      </c>
      <c r="E29" s="37">
        <f>B29*C29</f>
        <v/>
      </c>
    </row>
    <row r="30" ht="15" customHeight="1" s="25">
      <c r="B30" s="39" t="n">
        <v>15.5</v>
      </c>
      <c r="C30" s="32" t="n">
        <v>20</v>
      </c>
      <c r="D30" s="39">
        <f>B30*C30</f>
        <v/>
      </c>
      <c r="E30" s="37">
        <f>B30*C30</f>
        <v/>
      </c>
    </row>
    <row r="31" ht="15" customHeight="1" s="25">
      <c r="B31" s="39" t="n">
        <v>8.99</v>
      </c>
      <c r="C31" s="32" t="n">
        <v>5</v>
      </c>
      <c r="D31" s="39">
        <f>B31*C31</f>
        <v/>
      </c>
      <c r="E31" s="37">
        <f>B31*C31</f>
        <v/>
      </c>
    </row>
    <row r="32" ht="15" customHeight="1" s="25">
      <c r="B32" s="39" t="n">
        <v>42</v>
      </c>
      <c r="C32" s="32" t="n">
        <v>3</v>
      </c>
      <c r="D32" s="39">
        <f>B32*C32</f>
        <v/>
      </c>
      <c r="E32" s="37">
        <f>B32*C32</f>
        <v/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6" customWidth="1" style="24" min="2" max="9"/>
    <col width="3" customWidth="1" style="24" min="10" max="10"/>
  </cols>
  <sheetData>
    <row r="1" ht="27.75" customHeight="1" s="25">
      <c r="A1" s="26" t="inlineStr">
        <is>
          <t>Cell References</t>
        </is>
      </c>
    </row>
    <row r="2" ht="13.5" customHeight="1" s="25"/>
    <row r="3" ht="21.75" customHeight="1" s="25">
      <c r="A3" s="27" t="inlineStr">
        <is>
          <t xml:space="preserve">  Modulo 3 — Como las Relative References se ajustan al copiar</t>
        </is>
      </c>
    </row>
    <row r="5" ht="16.15" customHeight="1" s="25">
      <c r="B5" s="30" t="inlineStr">
        <is>
          <t>Ejemplo de Relative Reference</t>
        </is>
      </c>
    </row>
    <row r="6" ht="15" customHeight="1" s="25">
      <c r="B6" s="40" t="inlineStr">
        <is>
          <t>Observa como la formula se ajusta al copiarla hacia abajo.</t>
        </is>
      </c>
    </row>
    <row r="8" ht="15" customHeight="1" s="25">
      <c r="B8" s="31" t="inlineStr">
        <is>
          <t>Precio</t>
        </is>
      </c>
      <c r="C8" s="31" t="inlineStr">
        <is>
          <t>Cantidad</t>
        </is>
      </c>
      <c r="D8" s="31" t="inlineStr">
        <is>
          <t>Total</t>
        </is>
      </c>
      <c r="E8" s="31" t="inlineStr">
        <is>
          <t>Formula en esta celda</t>
        </is>
      </c>
    </row>
    <row r="9" ht="15" customHeight="1" s="25">
      <c r="B9" s="41" t="n">
        <v>100</v>
      </c>
      <c r="C9" s="32" t="n">
        <v>5</v>
      </c>
      <c r="D9" s="41">
        <f>B9*C9</f>
        <v/>
      </c>
      <c r="E9" s="37">
        <f>B9*C9</f>
        <v/>
      </c>
    </row>
    <row r="10" ht="15" customHeight="1" s="25">
      <c r="B10" s="41" t="n">
        <v>200</v>
      </c>
      <c r="C10" s="32" t="n">
        <v>3</v>
      </c>
      <c r="D10" s="41">
        <f>B10*C10</f>
        <v/>
      </c>
      <c r="E10" s="37">
        <f>B10*C10</f>
        <v/>
      </c>
    </row>
    <row r="11" ht="15" customHeight="1" s="25">
      <c r="B11" s="41" t="n">
        <v>150</v>
      </c>
      <c r="C11" s="32" t="n">
        <v>8</v>
      </c>
      <c r="D11" s="41">
        <f>B11*C11</f>
        <v/>
      </c>
      <c r="E11" s="37">
        <f>B11*C11</f>
        <v/>
      </c>
    </row>
    <row r="12" ht="15" customHeight="1" s="25">
      <c r="B12" s="41" t="n">
        <v>75</v>
      </c>
      <c r="C12" s="32" t="n">
        <v>12</v>
      </c>
      <c r="D12" s="41">
        <f>B12*C12</f>
        <v/>
      </c>
      <c r="E12" s="37">
        <f>B12*C12</f>
        <v/>
      </c>
    </row>
    <row r="13" ht="15" customHeight="1" s="25">
      <c r="B13" s="41" t="n">
        <v>300</v>
      </c>
      <c r="C13" s="32" t="n">
        <v>2</v>
      </c>
      <c r="D13" s="41">
        <f>B13*C13</f>
        <v/>
      </c>
      <c r="E13" s="37">
        <f>B13*C13</f>
        <v/>
      </c>
    </row>
    <row r="16" ht="15" customHeight="1" s="25">
      <c r="B16" s="42" t="inlineStr">
        <is>
          <t>La formula en D9 es =B9*C9. Se escribio en D9 y se copio hacia abajo con Fill Handle.</t>
        </is>
      </c>
    </row>
  </sheetData>
  <mergeCells count="3">
    <mergeCell ref="B16:H16"/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20" customWidth="1" style="24" min="2" max="2"/>
    <col width="18" customWidth="1" style="24" min="3" max="3"/>
    <col width="14" customWidth="1" style="24" min="4" max="5"/>
    <col width="16" customWidth="1" style="24" min="6" max="9"/>
    <col width="3" customWidth="1" style="24" min="10" max="10"/>
  </cols>
  <sheetData>
    <row r="1" ht="27.75" customHeight="1" s="25">
      <c r="A1" s="26" t="inlineStr">
        <is>
          <t>Funciones esenciales — Caso real</t>
        </is>
      </c>
    </row>
    <row r="2" ht="13.5" customHeight="1" s="25"/>
    <row r="3" ht="21.75" customHeight="1" s="25">
      <c r="A3" s="27" t="inlineStr">
        <is>
          <t xml:space="preserve">  Modulo 4 — SUM, AVERAGE, COUNT, COUNTA, MAX, MIN aplicadas a datos de ventas</t>
        </is>
      </c>
    </row>
    <row r="5" ht="15" customHeight="1" s="25">
      <c r="B5" s="31" t="inlineStr">
        <is>
          <t>Vendedor</t>
        </is>
      </c>
      <c r="C5" s="31" t="inlineStr">
        <is>
          <t>Region</t>
        </is>
      </c>
      <c r="D5" s="31" t="inlineStr">
        <is>
          <t>Sales</t>
        </is>
      </c>
      <c r="E5" s="31" t="inlineStr">
        <is>
          <t>Units</t>
        </is>
      </c>
    </row>
    <row r="6" ht="15" customHeight="1" s="25">
      <c r="B6" s="32" t="inlineStr">
        <is>
          <t>Ana Lopez</t>
        </is>
      </c>
      <c r="C6" s="32" t="inlineStr">
        <is>
          <t>Norte</t>
        </is>
      </c>
      <c r="D6" s="41" t="n">
        <v>15000</v>
      </c>
      <c r="E6" s="32" t="n">
        <v>45</v>
      </c>
    </row>
    <row r="7" ht="15" customHeight="1" s="25">
      <c r="B7" s="32" t="inlineStr">
        <is>
          <t>Carlos Ruiz</t>
        </is>
      </c>
      <c r="C7" s="32" t="inlineStr">
        <is>
          <t>Sur</t>
        </is>
      </c>
      <c r="D7" s="41" t="n">
        <v>8500</v>
      </c>
      <c r="E7" s="32" t="n">
        <v>28</v>
      </c>
    </row>
    <row r="8" ht="15" customHeight="1" s="25">
      <c r="B8" s="32" t="inlineStr">
        <is>
          <t>Maria Torres</t>
        </is>
      </c>
      <c r="C8" s="32" t="inlineStr">
        <is>
          <t>Norte</t>
        </is>
      </c>
      <c r="D8" s="41" t="n">
        <v>22000</v>
      </c>
      <c r="E8" s="32" t="n">
        <v>67</v>
      </c>
    </row>
    <row r="9" ht="15" customHeight="1" s="25">
      <c r="B9" s="32" t="inlineStr">
        <is>
          <t>Juan Perez</t>
        </is>
      </c>
      <c r="C9" s="32" t="inlineStr">
        <is>
          <t>Este</t>
        </is>
      </c>
      <c r="D9" s="41" t="n">
        <v>11200</v>
      </c>
      <c r="E9" s="32" t="n">
        <v>35</v>
      </c>
    </row>
    <row r="10" ht="15" customHeight="1" s="25">
      <c r="B10" s="32" t="inlineStr">
        <is>
          <t>Laura Gomez</t>
        </is>
      </c>
      <c r="C10" s="32" t="inlineStr">
        <is>
          <t>Sur</t>
        </is>
      </c>
      <c r="D10" s="41" t="n">
        <v>19500</v>
      </c>
      <c r="E10" s="32" t="n">
        <v>58</v>
      </c>
    </row>
    <row r="11" ht="15" customHeight="1" s="25">
      <c r="B11" s="32" t="inlineStr">
        <is>
          <t>Pedro Diaz</t>
        </is>
      </c>
      <c r="C11" s="32" t="inlineStr">
        <is>
          <t>Oeste</t>
        </is>
      </c>
      <c r="D11" s="41" t="n">
        <v>6800</v>
      </c>
      <c r="E11" s="32" t="n">
        <v>22</v>
      </c>
    </row>
    <row r="12" ht="15" customHeight="1" s="25">
      <c r="B12" s="32" t="inlineStr">
        <is>
          <t>Sofia Ramirez</t>
        </is>
      </c>
      <c r="C12" s="32" t="inlineStr">
        <is>
          <t>Este</t>
        </is>
      </c>
      <c r="D12" s="41" t="n">
        <v>14300</v>
      </c>
      <c r="E12" s="32" t="n">
        <v>42</v>
      </c>
    </row>
    <row r="13" ht="15" customHeight="1" s="25">
      <c r="B13" s="32" t="inlineStr">
        <is>
          <t>Diego Fernandez</t>
        </is>
      </c>
      <c r="C13" s="32" t="inlineStr">
        <is>
          <t>Oeste</t>
        </is>
      </c>
      <c r="D13" s="41" t="n">
        <v>17800</v>
      </c>
      <c r="E13" s="32" t="n">
        <v>53</v>
      </c>
    </row>
    <row r="14" ht="15" customHeight="1" s="25">
      <c r="B14" s="32" t="inlineStr">
        <is>
          <t>Valentina Cruz</t>
        </is>
      </c>
      <c r="C14" s="32" t="inlineStr">
        <is>
          <t>Norte</t>
        </is>
      </c>
      <c r="D14" s="41" t="n">
        <v>9200</v>
      </c>
      <c r="E14" s="32" t="n">
        <v>30</v>
      </c>
    </row>
    <row r="15" ht="15" customHeight="1" s="25">
      <c r="B15" s="32" t="inlineStr">
        <is>
          <t>Andres Morales</t>
        </is>
      </c>
      <c r="C15" s="32" t="inlineStr">
        <is>
          <t>Sur</t>
        </is>
      </c>
      <c r="D15" s="41" t="n">
        <v>13500</v>
      </c>
      <c r="E15" s="32" t="n">
        <v>41</v>
      </c>
    </row>
    <row r="17" ht="16.15" customHeight="1" s="25">
      <c r="B17" s="30" t="inlineStr">
        <is>
          <t>Resumen con funciones</t>
        </is>
      </c>
    </row>
    <row r="19" ht="15" customHeight="1" s="25">
      <c r="B19" s="31" t="inlineStr">
        <is>
          <t>Metrica</t>
        </is>
      </c>
      <c r="C19" s="31" t="inlineStr">
        <is>
          <t>Formula</t>
        </is>
      </c>
      <c r="D19" s="31" t="inlineStr">
        <is>
          <t>Resultado</t>
        </is>
      </c>
    </row>
    <row r="20" ht="15" customHeight="1" s="25">
      <c r="B20" s="43" t="inlineStr">
        <is>
          <t>Total Sales</t>
        </is>
      </c>
      <c r="C20" s="37">
        <f>SUM(D6:D15)</f>
        <v/>
      </c>
      <c r="D20" s="44">
        <f>SUM(D6:D15)</f>
        <v/>
      </c>
    </row>
    <row r="21" ht="15" customHeight="1" s="25">
      <c r="B21" s="43" t="inlineStr">
        <is>
          <t>Average Sale</t>
        </is>
      </c>
      <c r="C21" s="37">
        <f>AVERAGE(D6:D15)</f>
        <v/>
      </c>
      <c r="D21" s="44">
        <f>AVERAGE(D6:D15)</f>
        <v/>
      </c>
    </row>
    <row r="22" ht="15" customHeight="1" s="25">
      <c r="B22" s="43" t="inlineStr">
        <is>
          <t>Number of Sales</t>
        </is>
      </c>
      <c r="C22" s="37">
        <f>COUNT(D6:D15)</f>
        <v/>
      </c>
      <c r="D22" s="44">
        <f>COUNT(D6:D15)</f>
        <v/>
      </c>
    </row>
    <row r="23" ht="15" customHeight="1" s="25">
      <c r="B23" s="43" t="inlineStr">
        <is>
          <t>Records with Data</t>
        </is>
      </c>
      <c r="C23" s="37">
        <f>COUNTA(B6:B15)</f>
        <v/>
      </c>
      <c r="D23" s="44">
        <f>COUNTA(B6:B15)</f>
        <v/>
      </c>
    </row>
    <row r="24" ht="15" customHeight="1" s="25">
      <c r="B24" s="43" t="inlineStr">
        <is>
          <t>Highest Sale</t>
        </is>
      </c>
      <c r="C24" s="37">
        <f>MAX(D6:D15)</f>
        <v/>
      </c>
      <c r="D24" s="44">
        <f>MAX(D6:D15)</f>
        <v/>
      </c>
    </row>
    <row r="25" ht="15" customHeight="1" s="25">
      <c r="B25" s="43" t="inlineStr">
        <is>
          <t>Lowest Sale</t>
        </is>
      </c>
      <c r="C25" s="37">
        <f>MIN(D6:D15)</f>
        <v/>
      </c>
      <c r="D25" s="44">
        <f>MIN(D6:D15)</f>
        <v/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6" customWidth="1" style="24" min="2" max="9"/>
    <col width="3" customWidth="1" style="24" min="10" max="10"/>
  </cols>
  <sheetData>
    <row r="1" ht="27.75" customHeight="1" s="25">
      <c r="A1" s="26" t="inlineStr">
        <is>
          <t>Conditional Formatting — Ejemplos</t>
        </is>
      </c>
    </row>
    <row r="2" ht="13.5" customHeight="1" s="25"/>
    <row r="3" ht="21.75" customHeight="1" s="25">
      <c r="A3" s="27" t="inlineStr">
        <is>
          <t xml:space="preserve">  Modulo 5 — Aplica estas reglas a los datos para ver como funcionan</t>
        </is>
      </c>
    </row>
    <row r="5" ht="16.15" customHeight="1" s="25">
      <c r="B5" s="30" t="inlineStr">
        <is>
          <t>Datos de ejemplo para aplicar Conditional Formatting</t>
        </is>
      </c>
    </row>
    <row r="6" ht="15" customHeight="1" s="25">
      <c r="B6" s="40" t="inlineStr">
        <is>
          <t>Selecciona la columna Sales y aplica cada tipo de regla desde Home &gt; Conditional Formatting.</t>
        </is>
      </c>
    </row>
    <row r="8" ht="15" customHeight="1" s="25">
      <c r="B8" s="31" t="inlineStr">
        <is>
          <t>Employee</t>
        </is>
      </c>
      <c r="C8" s="31" t="inlineStr">
        <is>
          <t>Department</t>
        </is>
      </c>
      <c r="D8" s="31" t="inlineStr">
        <is>
          <t>Sales</t>
        </is>
      </c>
      <c r="E8" s="31" t="inlineStr">
        <is>
          <t>Target</t>
        </is>
      </c>
      <c r="F8" s="31" t="inlineStr">
        <is>
          <t>Status</t>
        </is>
      </c>
    </row>
    <row r="9" ht="15" customHeight="1" s="25">
      <c r="B9" s="32" t="inlineStr">
        <is>
          <t>Ana Lopez</t>
        </is>
      </c>
      <c r="C9" s="32" t="inlineStr">
        <is>
          <t>Sales</t>
        </is>
      </c>
      <c r="D9" s="41" t="n">
        <v>15000</v>
      </c>
      <c r="E9" s="41" t="n">
        <v>12000</v>
      </c>
      <c r="F9" s="32" t="inlineStr">
        <is>
          <t>Above Target</t>
        </is>
      </c>
    </row>
    <row r="10" ht="15" customHeight="1" s="25">
      <c r="B10" s="32" t="inlineStr">
        <is>
          <t>Carlos Ruiz</t>
        </is>
      </c>
      <c r="C10" s="32" t="inlineStr">
        <is>
          <t>Sales</t>
        </is>
      </c>
      <c r="D10" s="41" t="n">
        <v>8500</v>
      </c>
      <c r="E10" s="41" t="n">
        <v>12000</v>
      </c>
      <c r="F10" s="32" t="inlineStr">
        <is>
          <t>Below Target</t>
        </is>
      </c>
    </row>
    <row r="11" ht="15" customHeight="1" s="25">
      <c r="B11" s="32" t="inlineStr">
        <is>
          <t>Maria Torres</t>
        </is>
      </c>
      <c r="C11" s="32" t="inlineStr">
        <is>
          <t>Marketing</t>
        </is>
      </c>
      <c r="D11" s="41" t="n">
        <v>22000</v>
      </c>
      <c r="E11" s="41" t="n">
        <v>15000</v>
      </c>
      <c r="F11" s="32" t="inlineStr">
        <is>
          <t>Above Target</t>
        </is>
      </c>
    </row>
    <row r="12" ht="15" customHeight="1" s="25">
      <c r="B12" s="32" t="inlineStr">
        <is>
          <t>Juan Perez</t>
        </is>
      </c>
      <c r="C12" s="32" t="inlineStr">
        <is>
          <t>Sales</t>
        </is>
      </c>
      <c r="D12" s="41" t="n">
        <v>11200</v>
      </c>
      <c r="E12" s="41" t="n">
        <v>12000</v>
      </c>
      <c r="F12" s="32" t="inlineStr">
        <is>
          <t>Below Target</t>
        </is>
      </c>
    </row>
    <row r="13" ht="15" customHeight="1" s="25">
      <c r="B13" s="32" t="inlineStr">
        <is>
          <t>Laura Gomez</t>
        </is>
      </c>
      <c r="C13" s="32" t="inlineStr">
        <is>
          <t>Marketing</t>
        </is>
      </c>
      <c r="D13" s="41" t="n">
        <v>19500</v>
      </c>
      <c r="E13" s="41" t="n">
        <v>15000</v>
      </c>
      <c r="F13" s="32" t="inlineStr">
        <is>
          <t>Above Target</t>
        </is>
      </c>
    </row>
    <row r="14" ht="15" customHeight="1" s="25">
      <c r="B14" s="32" t="inlineStr">
        <is>
          <t>Pedro Diaz</t>
        </is>
      </c>
      <c r="C14" s="32" t="inlineStr">
        <is>
          <t>Sales</t>
        </is>
      </c>
      <c r="D14" s="41" t="n">
        <v>6800</v>
      </c>
      <c r="E14" s="41" t="n">
        <v>12000</v>
      </c>
      <c r="F14" s="32" t="inlineStr">
        <is>
          <t>Below Target</t>
        </is>
      </c>
    </row>
    <row r="15" ht="15" customHeight="1" s="25">
      <c r="B15" s="32" t="inlineStr">
        <is>
          <t>Sofia Ramirez</t>
        </is>
      </c>
      <c r="C15" s="32" t="inlineStr">
        <is>
          <t>Marketing</t>
        </is>
      </c>
      <c r="D15" s="41" t="n">
        <v>14300</v>
      </c>
      <c r="E15" s="41" t="n">
        <v>15000</v>
      </c>
      <c r="F15" s="32" t="inlineStr">
        <is>
          <t>Below Target</t>
        </is>
      </c>
    </row>
    <row r="16" ht="15" customHeight="1" s="25">
      <c r="B16" s="32" t="inlineStr">
        <is>
          <t>Diego Fernandez</t>
        </is>
      </c>
      <c r="C16" s="32" t="inlineStr">
        <is>
          <t>Sales</t>
        </is>
      </c>
      <c r="D16" s="41" t="n">
        <v>17800</v>
      </c>
      <c r="E16" s="41" t="n">
        <v>12000</v>
      </c>
      <c r="F16" s="32" t="inlineStr">
        <is>
          <t>Above Target</t>
        </is>
      </c>
    </row>
    <row r="19" ht="16.15" customHeight="1" s="25">
      <c r="B19" s="30" t="inlineStr">
        <is>
          <t>Reglas para practicar:</t>
        </is>
      </c>
    </row>
    <row r="20" ht="15" customHeight="1" s="25">
      <c r="B20" s="45" t="inlineStr">
        <is>
          <t>1. Highlight Cell Rules &gt; Less Than &gt; 12000 en columna Sales (rojo)</t>
        </is>
      </c>
    </row>
    <row r="21" ht="15" customHeight="1" s="25">
      <c r="B21" s="45" t="inlineStr">
        <is>
          <t>2. Top/Bottom Rules &gt; Top 3 Items en columna Sales (verde)</t>
        </is>
      </c>
    </row>
    <row r="22" ht="15" customHeight="1" s="25">
      <c r="B22" s="45" t="inlineStr">
        <is>
          <t>3. Data Bars en columna Sales (barras visuales)</t>
        </is>
      </c>
    </row>
    <row r="23" ht="15" customHeight="1" s="25">
      <c r="B23" s="45" t="inlineStr">
        <is>
          <t>4. Color Scales (3 colores) en columna Sales</t>
        </is>
      </c>
    </row>
    <row r="24" ht="15" customHeight="1" s="25">
      <c r="B24" s="45" t="inlineStr">
        <is>
          <t>5. Highlight Cell Rules &gt; Text That Contains &gt; 'Below' en columna Status</t>
        </is>
      </c>
    </row>
  </sheetData>
  <mergeCells count="8">
    <mergeCell ref="B22:H22"/>
    <mergeCell ref="A1:J2"/>
    <mergeCell ref="B21:H21"/>
    <mergeCell ref="A3:J3"/>
    <mergeCell ref="B6:H6"/>
    <mergeCell ref="B24:H24"/>
    <mergeCell ref="B20:H20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8" customWidth="1" style="24" min="2" max="2"/>
    <col width="16" customWidth="1" style="24" min="3" max="4"/>
    <col width="14" customWidth="1" style="24" min="5" max="7"/>
    <col width="16" customWidth="1" style="24" min="8" max="9"/>
    <col width="3" customWidth="1" style="24" min="10" max="10"/>
  </cols>
  <sheetData>
    <row r="1" ht="27.75" customHeight="1" s="25">
      <c r="A1" s="26" t="inlineStr">
        <is>
          <t>Sort and Filter — Datos de practica</t>
        </is>
      </c>
    </row>
    <row r="2" ht="13.5" customHeight="1" s="25"/>
    <row r="3" ht="21.75" customHeight="1" s="25">
      <c r="A3" s="27" t="inlineStr">
        <is>
          <t xml:space="preserve">  Modulo 6 — Usa estos datos para practicar Sort y Filter</t>
        </is>
      </c>
    </row>
    <row r="5" ht="15" customHeight="1" s="25">
      <c r="B5" s="31" t="inlineStr">
        <is>
          <t>Product</t>
        </is>
      </c>
      <c r="C5" s="31" t="inlineStr">
        <is>
          <t>Category</t>
        </is>
      </c>
      <c r="D5" s="31" t="inlineStr">
        <is>
          <t>Region</t>
        </is>
      </c>
      <c r="E5" s="31" t="inlineStr">
        <is>
          <t>Sales</t>
        </is>
      </c>
      <c r="F5" s="31" t="inlineStr">
        <is>
          <t>Units</t>
        </is>
      </c>
      <c r="G5" s="31" t="inlineStr">
        <is>
          <t>Date</t>
        </is>
      </c>
    </row>
    <row r="6" ht="15" customHeight="1" s="25">
      <c r="B6" s="32" t="inlineStr">
        <is>
          <t>Laptop Pro</t>
        </is>
      </c>
      <c r="C6" s="32" t="inlineStr">
        <is>
          <t>Electronics</t>
        </is>
      </c>
      <c r="D6" s="32" t="inlineStr">
        <is>
          <t>Norte</t>
        </is>
      </c>
      <c r="E6" s="41" t="n">
        <v>45000</v>
      </c>
      <c r="F6" s="32" t="n">
        <v>30</v>
      </c>
      <c r="G6" s="32" t="inlineStr">
        <is>
          <t>2025-01-15</t>
        </is>
      </c>
    </row>
    <row r="7" ht="15" customHeight="1" s="25">
      <c r="B7" s="32" t="inlineStr">
        <is>
          <t>Mouse Wireless</t>
        </is>
      </c>
      <c r="C7" s="32" t="inlineStr">
        <is>
          <t>Accessories</t>
        </is>
      </c>
      <c r="D7" s="32" t="inlineStr">
        <is>
          <t>Sur</t>
        </is>
      </c>
      <c r="E7" s="41" t="n">
        <v>4800</v>
      </c>
      <c r="F7" s="32" t="n">
        <v>160</v>
      </c>
      <c r="G7" s="32" t="inlineStr">
        <is>
          <t>2025-01-22</t>
        </is>
      </c>
    </row>
    <row r="8" ht="15" customHeight="1" s="25">
      <c r="B8" s="32" t="inlineStr">
        <is>
          <t>Monitor 27in</t>
        </is>
      </c>
      <c r="C8" s="32" t="inlineStr">
        <is>
          <t>Electronics</t>
        </is>
      </c>
      <c r="D8" s="32" t="inlineStr">
        <is>
          <t>Este</t>
        </is>
      </c>
      <c r="E8" s="41" t="n">
        <v>28000</v>
      </c>
      <c r="F8" s="32" t="n">
        <v>70</v>
      </c>
      <c r="G8" s="32" t="inlineStr">
        <is>
          <t>2025-02-03</t>
        </is>
      </c>
    </row>
    <row r="9" ht="15" customHeight="1" s="25">
      <c r="B9" s="32" t="inlineStr">
        <is>
          <t>Keyboard</t>
        </is>
      </c>
      <c r="C9" s="32" t="inlineStr">
        <is>
          <t>Accessories</t>
        </is>
      </c>
      <c r="D9" s="32" t="inlineStr">
        <is>
          <t>Norte</t>
        </is>
      </c>
      <c r="E9" s="41" t="n">
        <v>7200</v>
      </c>
      <c r="F9" s="32" t="n">
        <v>120</v>
      </c>
      <c r="G9" s="32" t="inlineStr">
        <is>
          <t>2025-02-14</t>
        </is>
      </c>
    </row>
    <row r="10" ht="15" customHeight="1" s="25">
      <c r="B10" s="32" t="inlineStr">
        <is>
          <t>Laptop Pro</t>
        </is>
      </c>
      <c r="C10" s="32" t="inlineStr">
        <is>
          <t>Electronics</t>
        </is>
      </c>
      <c r="D10" s="32" t="inlineStr">
        <is>
          <t>Oeste</t>
        </is>
      </c>
      <c r="E10" s="41" t="n">
        <v>52000</v>
      </c>
      <c r="F10" s="32" t="n">
        <v>35</v>
      </c>
      <c r="G10" s="32" t="inlineStr">
        <is>
          <t>2025-02-28</t>
        </is>
      </c>
    </row>
    <row r="11" ht="15" customHeight="1" s="25">
      <c r="B11" s="32" t="inlineStr">
        <is>
          <t>Webcam HD</t>
        </is>
      </c>
      <c r="C11" s="32" t="inlineStr">
        <is>
          <t>Accessories</t>
        </is>
      </c>
      <c r="D11" s="32" t="inlineStr">
        <is>
          <t>Sur</t>
        </is>
      </c>
      <c r="E11" s="41" t="n">
        <v>6500</v>
      </c>
      <c r="F11" s="32" t="n">
        <v>130</v>
      </c>
      <c r="G11" s="32" t="inlineStr">
        <is>
          <t>2025-03-05</t>
        </is>
      </c>
    </row>
    <row r="12" ht="15" customHeight="1" s="25">
      <c r="B12" s="32" t="inlineStr">
        <is>
          <t>Monitor 27in</t>
        </is>
      </c>
      <c r="C12" s="32" t="inlineStr">
        <is>
          <t>Electronics</t>
        </is>
      </c>
      <c r="D12" s="32" t="inlineStr">
        <is>
          <t>Norte</t>
        </is>
      </c>
      <c r="E12" s="41" t="n">
        <v>31000</v>
      </c>
      <c r="F12" s="32" t="n">
        <v>78</v>
      </c>
      <c r="G12" s="32" t="inlineStr">
        <is>
          <t>2025-03-12</t>
        </is>
      </c>
    </row>
    <row r="13" ht="15" customHeight="1" s="25">
      <c r="B13" s="32" t="inlineStr">
        <is>
          <t>Mouse Wireless</t>
        </is>
      </c>
      <c r="C13" s="32" t="inlineStr">
        <is>
          <t>Accessories</t>
        </is>
      </c>
      <c r="D13" s="32" t="inlineStr">
        <is>
          <t>Este</t>
        </is>
      </c>
      <c r="E13" s="41" t="n">
        <v>3200</v>
      </c>
      <c r="F13" s="32" t="n">
        <v>100</v>
      </c>
      <c r="G13" s="32" t="inlineStr">
        <is>
          <t>2025-03-18</t>
        </is>
      </c>
    </row>
    <row r="14" ht="15" customHeight="1" s="25">
      <c r="B14" s="32" t="inlineStr">
        <is>
          <t>Laptop Pro</t>
        </is>
      </c>
      <c r="C14" s="32" t="inlineStr">
        <is>
          <t>Electronics</t>
        </is>
      </c>
      <c r="D14" s="32" t="inlineStr">
        <is>
          <t>Sur</t>
        </is>
      </c>
      <c r="E14" s="41" t="n">
        <v>38000</v>
      </c>
      <c r="F14" s="32" t="n">
        <v>25</v>
      </c>
      <c r="G14" s="32" t="inlineStr">
        <is>
          <t>2025-03-25</t>
        </is>
      </c>
    </row>
    <row r="15" ht="15" customHeight="1" s="25">
      <c r="B15" s="32" t="inlineStr">
        <is>
          <t>Keyboard</t>
        </is>
      </c>
      <c r="C15" s="32" t="inlineStr">
        <is>
          <t>Accessories</t>
        </is>
      </c>
      <c r="D15" s="32" t="inlineStr">
        <is>
          <t>Oeste</t>
        </is>
      </c>
      <c r="E15" s="41" t="n">
        <v>5400</v>
      </c>
      <c r="F15" s="32" t="n">
        <v>90</v>
      </c>
      <c r="G15" s="32" t="inlineStr">
        <is>
          <t>2025-04-02</t>
        </is>
      </c>
    </row>
    <row r="16" ht="15" customHeight="1" s="25">
      <c r="B16" s="32" t="inlineStr">
        <is>
          <t>Webcam HD</t>
        </is>
      </c>
      <c r="C16" s="32" t="inlineStr">
        <is>
          <t>Accessories</t>
        </is>
      </c>
      <c r="D16" s="32" t="inlineStr">
        <is>
          <t>Norte</t>
        </is>
      </c>
      <c r="E16" s="41" t="n">
        <v>8200</v>
      </c>
      <c r="F16" s="32" t="n">
        <v>165</v>
      </c>
      <c r="G16" s="32" t="inlineStr">
        <is>
          <t>2025-04-10</t>
        </is>
      </c>
    </row>
    <row r="17" ht="15" customHeight="1" s="25">
      <c r="B17" s="32" t="inlineStr">
        <is>
          <t>Monitor 27in</t>
        </is>
      </c>
      <c r="C17" s="32" t="inlineStr">
        <is>
          <t>Electronics</t>
        </is>
      </c>
      <c r="D17" s="32" t="inlineStr">
        <is>
          <t>Oeste</t>
        </is>
      </c>
      <c r="E17" s="41" t="n">
        <v>25000</v>
      </c>
      <c r="F17" s="32" t="n">
        <v>62</v>
      </c>
      <c r="G17" s="32" t="inlineStr">
        <is>
          <t>2025-04-15</t>
        </is>
      </c>
    </row>
    <row r="20" ht="16.15" customHeight="1" s="25">
      <c r="B20" s="30" t="inlineStr">
        <is>
          <t>Ejercicios sugeridos:</t>
        </is>
      </c>
    </row>
    <row r="21" ht="15" customHeight="1" s="25">
      <c r="B21" s="45" t="inlineStr">
        <is>
          <t>1. Sort A-Z por Region, luego Custom Sort por Region (A-Z) + Sales (mayor a menor)</t>
        </is>
      </c>
    </row>
    <row r="22" ht="15" customHeight="1" s="25">
      <c r="B22" s="45" t="inlineStr">
        <is>
          <t>2. Activar Filter (Ctrl+Shift+L) y filtrar solo Electronics</t>
        </is>
      </c>
    </row>
    <row r="23" ht="15" customHeight="1" s="25">
      <c r="B23" s="45" t="inlineStr">
        <is>
          <t>3. Number Filter en Sales: Greater Than 20000</t>
        </is>
      </c>
    </row>
    <row r="24" ht="15" customHeight="1" s="25">
      <c r="B24" s="45" t="inlineStr">
        <is>
          <t>4. Filtrar por Region = Norte, observar SUM en Status Bar</t>
        </is>
      </c>
    </row>
  </sheetData>
  <mergeCells count="6">
    <mergeCell ref="B21:I21"/>
    <mergeCell ref="A1:J2"/>
    <mergeCell ref="B24:I24"/>
    <mergeCell ref="A3:J3"/>
    <mergeCell ref="B22:I22"/>
    <mergeCell ref="B23:I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6" customWidth="1" style="24" min="2" max="9"/>
    <col width="3" customWidth="1" style="24" min="10" max="10"/>
  </cols>
  <sheetData>
    <row r="1" ht="27.75" customHeight="1" s="25">
      <c r="A1" s="26" t="inlineStr">
        <is>
          <t>Charts — Datos y guia</t>
        </is>
      </c>
    </row>
    <row r="2" ht="13.5" customHeight="1" s="25"/>
    <row r="3" ht="21.75" customHeight="1" s="25">
      <c r="A3" s="27" t="inlineStr">
        <is>
          <t xml:space="preserve">  Modulo 7 — Datos listos para crear Column, Line y Pie Charts</t>
        </is>
      </c>
    </row>
    <row r="5" ht="16.15" customHeight="1" s="25">
      <c r="B5" s="30" t="inlineStr">
        <is>
          <t>Datos para Column Chart (ventas por region)</t>
        </is>
      </c>
    </row>
    <row r="6" ht="15" customHeight="1" s="25">
      <c r="B6" s="31" t="inlineStr">
        <is>
          <t>Region</t>
        </is>
      </c>
      <c r="C6" s="31" t="inlineStr">
        <is>
          <t>Sales</t>
        </is>
      </c>
    </row>
    <row r="7" ht="15" customHeight="1" s="25">
      <c r="B7" s="46" t="inlineStr">
        <is>
          <t>Norte</t>
        </is>
      </c>
      <c r="C7" s="47" t="n">
        <v>83200</v>
      </c>
    </row>
    <row r="8" ht="15" customHeight="1" s="25">
      <c r="B8" s="46" t="inlineStr">
        <is>
          <t>Sur</t>
        </is>
      </c>
      <c r="C8" s="47" t="n">
        <v>49800</v>
      </c>
    </row>
    <row r="9" ht="15" customHeight="1" s="25">
      <c r="B9" s="46" t="inlineStr">
        <is>
          <t>Este</t>
        </is>
      </c>
      <c r="C9" s="47" t="n">
        <v>31200</v>
      </c>
    </row>
    <row r="10" ht="15" customHeight="1" s="25">
      <c r="B10" s="46" t="inlineStr">
        <is>
          <t>Oeste</t>
        </is>
      </c>
      <c r="C10" s="47" t="n">
        <v>82400</v>
      </c>
    </row>
    <row r="13" ht="16.15" customHeight="1" s="25">
      <c r="B13" s="30" t="inlineStr">
        <is>
          <t>Datos para Line Chart (tendencia mensual)</t>
        </is>
      </c>
    </row>
    <row r="14" ht="15" customHeight="1" s="25">
      <c r="B14" s="31" t="inlineStr">
        <is>
          <t>Month</t>
        </is>
      </c>
      <c r="C14" s="31" t="inlineStr">
        <is>
          <t>Revenue</t>
        </is>
      </c>
    </row>
    <row r="15" ht="15" customHeight="1" s="25">
      <c r="B15" s="46" t="inlineStr">
        <is>
          <t>Jan</t>
        </is>
      </c>
      <c r="C15" s="47" t="n">
        <v>45000</v>
      </c>
    </row>
    <row r="16" ht="15" customHeight="1" s="25">
      <c r="B16" s="46" t="inlineStr">
        <is>
          <t>Feb</t>
        </is>
      </c>
      <c r="C16" s="47" t="n">
        <v>52000</v>
      </c>
    </row>
    <row r="17" ht="15" customHeight="1" s="25">
      <c r="B17" s="46" t="inlineStr">
        <is>
          <t>Mar</t>
        </is>
      </c>
      <c r="C17" s="47" t="n">
        <v>48000</v>
      </c>
    </row>
    <row r="18" ht="15" customHeight="1" s="25">
      <c r="B18" s="46" t="inlineStr">
        <is>
          <t>Apr</t>
        </is>
      </c>
      <c r="C18" s="47" t="n">
        <v>61000</v>
      </c>
    </row>
    <row r="19" ht="15" customHeight="1" s="25">
      <c r="B19" s="46" t="inlineStr">
        <is>
          <t>May</t>
        </is>
      </c>
      <c r="C19" s="47" t="n">
        <v>58000</v>
      </c>
    </row>
    <row r="20" ht="15" customHeight="1" s="25">
      <c r="B20" s="46" t="inlineStr">
        <is>
          <t>Jun</t>
        </is>
      </c>
      <c r="C20" s="47" t="n">
        <v>72000</v>
      </c>
    </row>
    <row r="23" ht="16.15" customHeight="1" s="25">
      <c r="B23" s="30" t="inlineStr">
        <is>
          <t>Datos para Pie Chart (distribucion por categoria)</t>
        </is>
      </c>
    </row>
    <row r="24" ht="15" customHeight="1" s="25">
      <c r="B24" s="31" t="inlineStr">
        <is>
          <t>Category</t>
        </is>
      </c>
      <c r="C24" s="31" t="inlineStr">
        <is>
          <t>Sales</t>
        </is>
      </c>
    </row>
    <row r="25" ht="15" customHeight="1" s="25">
      <c r="B25" s="46" t="inlineStr">
        <is>
          <t>Electronics</t>
        </is>
      </c>
      <c r="C25" s="47" t="n">
        <v>219000</v>
      </c>
    </row>
    <row r="26" ht="15" customHeight="1" s="25">
      <c r="B26" s="46" t="inlineStr">
        <is>
          <t>Accessories</t>
        </is>
      </c>
      <c r="C26" s="47" t="n">
        <v>35300</v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2026-03-20T02:49:05Z</dcterms:created>
  <dcterms:modified xsi:type="dcterms:W3CDTF">2026-04-10T01:17:36Z</dcterms:modified>
  <cp:revision>1</cp:revision>
</cp:coreProperties>
</file>