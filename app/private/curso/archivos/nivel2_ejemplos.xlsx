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dex" sheetId="1" state="visible" r:id="rId1"/>
    <sheet name="Abs References" sheetId="2" state="visible" r:id="rId2"/>
    <sheet name="IF Functions" sheetId="3" state="visible" r:id="rId3"/>
    <sheet name="SUMIFS" sheetId="4" state="visible" r:id="rId4"/>
    <sheet name="Text Functions" sheetId="5" state="visible" r:id="rId5"/>
    <sheet name="Date Functions" sheetId="6" state="visible" r:id="rId6"/>
    <sheet name="Validation" sheetId="7" state="visible" r:id="rId7"/>
    <sheet name="Named Ranges" sheetId="8" state="visible" r:id="rId8"/>
    <sheet name="PivotTable Data" sheetId="9" state="visible" r:id="rId9"/>
    <sheet name="Charts Adv Data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EDCAD0"/>
      <sz val="10"/>
    </font>
    <font>
      <name val="Arial"/>
      <charset val="1"/>
      <family val="0"/>
      <b val="1"/>
      <color rgb="FF7B1D32"/>
      <sz val="10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520F1E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BF360C"/>
      <sz val="11"/>
    </font>
    <font>
      <name val="Arial"/>
      <charset val="1"/>
      <family val="0"/>
      <b val="1"/>
      <color rgb="FF1B5E20"/>
      <sz val="11"/>
    </font>
    <font>
      <name val="Arial"/>
      <charset val="1"/>
      <family val="0"/>
      <color rgb="FF1B5E20"/>
      <sz val="10"/>
    </font>
  </fonts>
  <fills count="7">
    <fill>
      <patternFill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9EAED"/>
        <bgColor rgb="FFFBE9E7"/>
      </patternFill>
    </fill>
    <fill>
      <patternFill patternType="solid">
        <fgColor rgb="FFFFF9C4"/>
        <bgColor rgb="FFFBE9E7"/>
      </patternFill>
    </fill>
    <fill>
      <patternFill patternType="solid">
        <fgColor rgb="FFFBE9E7"/>
        <bgColor rgb="FFF9EAED"/>
      </patternFill>
    </fill>
    <fill>
      <patternFill patternType="solid">
        <fgColor rgb="FFE8F5E9"/>
        <bgColor rgb="FFF9EA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9" fontId="6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15" fillId="6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9" fontId="6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15" fillId="6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EAED"/>
      <rgbColor rgb="FFCCFFCC"/>
      <rgbColor rgb="FFFBE9E7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BF360C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5C480F"/>
    <outlinePr summaryBelow="1" summaryRight="1"/>
    <pageSetUpPr fitToPage="0"/>
  </sheetPr>
  <dimension ref="A1:J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6" customWidth="1" style="32" min="2" max="10"/>
  </cols>
  <sheetData>
    <row r="1" ht="27.75" customHeight="1" s="33">
      <c r="A1" s="34" t="inlineStr">
        <is>
          <t>Nivel 2 — Ejemplos</t>
        </is>
      </c>
    </row>
    <row r="2" ht="13.5" customHeight="1" s="33"/>
    <row r="3" ht="21.75" customHeight="1" s="33">
      <c r="A3" s="35" t="inlineStr">
        <is>
          <t xml:space="preserve">  Workbook de referencia con ejemplos resueltos para cada modulo</t>
        </is>
      </c>
    </row>
    <row r="5" ht="15" customHeight="1" s="33">
      <c r="B5" s="36" t="inlineStr">
        <is>
          <t>Abs References</t>
        </is>
      </c>
      <c r="C5" s="37" t="inlineStr">
        <is>
          <t>Mod 1: Absolute y Mixed References con tabla de doble entrada</t>
        </is>
      </c>
    </row>
    <row r="6" ht="15" customHeight="1" s="33">
      <c r="B6" s="36" t="inlineStr">
        <is>
          <t>IF Functions</t>
        </is>
      </c>
      <c r="C6" s="37" t="inlineStr">
        <is>
          <t>Mod 2: IF, IFS, AND, OR con ejemplos practicos</t>
        </is>
      </c>
    </row>
    <row r="7" ht="15" customHeight="1" s="33">
      <c r="B7" s="36" t="inlineStr">
        <is>
          <t>SUMIFS</t>
        </is>
      </c>
      <c r="C7" s="37" t="inlineStr">
        <is>
          <t>Mod 3: SUMIF, SUMIFS, COUNTIF, COUNTIFS, AVERAGEIFS</t>
        </is>
      </c>
    </row>
    <row r="8" ht="15" customHeight="1" s="33">
      <c r="B8" s="36" t="inlineStr">
        <is>
          <t>Text Functions</t>
        </is>
      </c>
      <c r="C8" s="37" t="inlineStr">
        <is>
          <t>Mod 4: LEFT, RIGHT, MID, TRIM, CONCAT, TEXT</t>
        </is>
      </c>
    </row>
    <row r="9" ht="15" customHeight="1" s="33">
      <c r="B9" s="36" t="inlineStr">
        <is>
          <t>Date Functions</t>
        </is>
      </c>
      <c r="C9" s="37" t="inlineStr">
        <is>
          <t>Mod 5: TODAY, DATEDIF, EDATE, NETWORKDAYS</t>
        </is>
      </c>
    </row>
    <row r="10" ht="15" customHeight="1" s="33">
      <c r="B10" s="36" t="inlineStr">
        <is>
          <t>Validation</t>
        </is>
      </c>
      <c r="C10" s="37" t="inlineStr">
        <is>
          <t>Mod 6: Data Validation con Drop-down Lists</t>
        </is>
      </c>
    </row>
    <row r="11" ht="15" customHeight="1" s="33">
      <c r="B11" s="36" t="inlineStr">
        <is>
          <t>Named Ranges</t>
        </is>
      </c>
      <c r="C11" s="37" t="inlineStr">
        <is>
          <t>Mod 7: Ejemplos de Named Ranges en formulas</t>
        </is>
      </c>
    </row>
    <row r="12" ht="15" customHeight="1" s="33">
      <c r="B12" s="36" t="inlineStr">
        <is>
          <t>PivotTable Data</t>
        </is>
      </c>
      <c r="C12" s="37" t="inlineStr">
        <is>
          <t>Mod 8: Dataset para crear PivotTables</t>
        </is>
      </c>
    </row>
    <row r="13" ht="15" customHeight="1" s="33">
      <c r="B13" s="36" t="inlineStr">
        <is>
          <t>Charts Adv Data</t>
        </is>
      </c>
      <c r="C13" s="37" t="inlineStr">
        <is>
          <t>Mod 9: Datos para Combo Charts y Sparklines</t>
        </is>
      </c>
    </row>
  </sheetData>
  <mergeCells count="11">
    <mergeCell ref="C13:I13"/>
    <mergeCell ref="A1:J2"/>
    <mergeCell ref="C9:I9"/>
    <mergeCell ref="C8:I8"/>
    <mergeCell ref="A3:J3"/>
    <mergeCell ref="C12:I12"/>
    <mergeCell ref="C6:I6"/>
    <mergeCell ref="C7:I7"/>
    <mergeCell ref="C10:I10"/>
    <mergeCell ref="C11:I11"/>
    <mergeCell ref="C5:I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6" customWidth="1" style="32" min="2" max="10"/>
  </cols>
  <sheetData>
    <row r="1" ht="27.75" customHeight="1" s="33">
      <c r="A1" s="34" t="inlineStr">
        <is>
          <t>Absolute &amp; Mixed References</t>
        </is>
      </c>
    </row>
    <row r="2" ht="13.5" customHeight="1" s="33"/>
    <row r="3" ht="21.75" customHeight="1" s="33">
      <c r="A3" s="35" t="inlineStr">
        <is>
          <t xml:space="preserve">  Mod 1 — Tabla de precios con descuentos usando Mixed References</t>
        </is>
      </c>
    </row>
    <row r="5" ht="16.15" customHeight="1" s="33">
      <c r="B5" s="38" t="inlineStr">
        <is>
          <t>Tabla de precios con descuento</t>
        </is>
      </c>
    </row>
    <row r="6" ht="15" customHeight="1" s="33">
      <c r="B6" s="39" t="inlineStr">
        <is>
          <t>La formula en D9 es =$C9*(1-D$7). Copiada a todo el rango.</t>
        </is>
      </c>
    </row>
    <row r="7" ht="15" customHeight="1" s="33">
      <c r="D7" s="40" t="n">
        <v>0.1</v>
      </c>
      <c r="E7" s="40" t="n">
        <v>0.15</v>
      </c>
      <c r="F7" s="40" t="n">
        <v>0.2</v>
      </c>
      <c r="G7" s="40" t="n">
        <v>0.25</v>
      </c>
    </row>
    <row r="8" ht="15" customHeight="1" s="33">
      <c r="B8" s="41" t="inlineStr">
        <is>
          <t>Product</t>
        </is>
      </c>
      <c r="C8" s="41" t="inlineStr">
        <is>
          <t>Price</t>
        </is>
      </c>
      <c r="D8" s="42" t="inlineStr">
        <is>
          <t>Discount 10%</t>
        </is>
      </c>
      <c r="E8" s="42" t="inlineStr">
        <is>
          <t>Discount 15%</t>
        </is>
      </c>
      <c r="F8" s="42" t="inlineStr">
        <is>
          <t>Discount 20%</t>
        </is>
      </c>
      <c r="G8" s="42" t="inlineStr">
        <is>
          <t>Discount 25%</t>
        </is>
      </c>
    </row>
    <row r="9" ht="15" customHeight="1" s="33">
      <c r="B9" s="43" t="inlineStr">
        <is>
          <t>Laptop Pro</t>
        </is>
      </c>
      <c r="C9" s="44" t="n">
        <v>1200</v>
      </c>
      <c r="D9" s="45">
        <f>$C9*(1-D$7)</f>
        <v/>
      </c>
      <c r="E9" s="45">
        <f>$C9*(1-E$7)</f>
        <v/>
      </c>
      <c r="F9" s="45">
        <f>$C9*(1-F$7)</f>
        <v/>
      </c>
      <c r="G9" s="45">
        <f>$C9*(1-G$7)</f>
        <v/>
      </c>
    </row>
    <row r="10" ht="15" customHeight="1" s="33">
      <c r="B10" s="43" t="inlineStr">
        <is>
          <t>Monitor 27in</t>
        </is>
      </c>
      <c r="C10" s="44" t="n">
        <v>400</v>
      </c>
      <c r="D10" s="45">
        <f>$C10*(1-D$7)</f>
        <v/>
      </c>
      <c r="E10" s="45">
        <f>$C10*(1-E$7)</f>
        <v/>
      </c>
      <c r="F10" s="45">
        <f>$C10*(1-F$7)</f>
        <v/>
      </c>
      <c r="G10" s="45">
        <f>$C10*(1-G$7)</f>
        <v/>
      </c>
    </row>
    <row r="11" ht="15" customHeight="1" s="33">
      <c r="B11" s="43" t="inlineStr">
        <is>
          <t>Keyboard</t>
        </is>
      </c>
      <c r="C11" s="44" t="n">
        <v>60</v>
      </c>
      <c r="D11" s="45">
        <f>$C11*(1-D$7)</f>
        <v/>
      </c>
      <c r="E11" s="45">
        <f>$C11*(1-E$7)</f>
        <v/>
      </c>
      <c r="F11" s="45">
        <f>$C11*(1-F$7)</f>
        <v/>
      </c>
      <c r="G11" s="45">
        <f>$C11*(1-G$7)</f>
        <v/>
      </c>
    </row>
    <row r="12" ht="15" customHeight="1" s="33">
      <c r="B12" s="43" t="inlineStr">
        <is>
          <t>Mouse</t>
        </is>
      </c>
      <c r="C12" s="44" t="n">
        <v>25</v>
      </c>
      <c r="D12" s="45">
        <f>$C12*(1-D$7)</f>
        <v/>
      </c>
      <c r="E12" s="45">
        <f>$C12*(1-E$7)</f>
        <v/>
      </c>
      <c r="F12" s="45">
        <f>$C12*(1-F$7)</f>
        <v/>
      </c>
      <c r="G12" s="45">
        <f>$C12*(1-G$7)</f>
        <v/>
      </c>
    </row>
    <row r="13" ht="15" customHeight="1" s="33">
      <c r="B13" s="43" t="inlineStr">
        <is>
          <t>Webcam HD</t>
        </is>
      </c>
      <c r="C13" s="44" t="n">
        <v>85</v>
      </c>
      <c r="D13" s="45">
        <f>$C13*(1-D$7)</f>
        <v/>
      </c>
      <c r="E13" s="45">
        <f>$C13*(1-E$7)</f>
        <v/>
      </c>
      <c r="F13" s="45">
        <f>$C13*(1-F$7)</f>
        <v/>
      </c>
      <c r="G13" s="45">
        <f>$C13*(1-G$7)</f>
        <v/>
      </c>
    </row>
    <row r="16" ht="15" customHeight="1" s="33">
      <c r="B16" s="46" t="inlineStr">
        <is>
          <t>Formula en D9:</t>
        </is>
      </c>
      <c r="C16" s="47">
        <f>$C9*(1-D$7)</f>
        <v/>
      </c>
    </row>
    <row r="17" ht="15" customHeight="1" s="33">
      <c r="B17" s="48" t="inlineStr">
        <is>
          <t>$C7:</t>
        </is>
      </c>
      <c r="C17" s="49" t="inlineStr">
        <is>
          <t>Columna fija (precio siempre en C), fila se mueve (cada producto)</t>
        </is>
      </c>
    </row>
    <row r="18" ht="15" customHeight="1" s="33">
      <c r="B18" s="48" t="inlineStr">
        <is>
          <t>D$7:</t>
        </is>
      </c>
      <c r="C18" s="49" t="inlineStr">
        <is>
          <t>fila fija (descuentos en fila 7)</t>
        </is>
      </c>
    </row>
  </sheetData>
  <mergeCells count="5">
    <mergeCell ref="A1:J2"/>
    <mergeCell ref="A3:J3"/>
    <mergeCell ref="C18:H18"/>
    <mergeCell ref="C17:H17"/>
    <mergeCell ref="B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6" customWidth="1" style="32" min="2" max="2"/>
    <col width="10" customWidth="1" style="32" min="3" max="3"/>
    <col width="14" customWidth="1" style="32" min="4" max="4"/>
    <col width="34" customWidth="1" style="32" min="5" max="5"/>
    <col width="50" customWidth="1" style="32" min="6" max="6"/>
    <col width="42" customWidth="1" style="32" min="7" max="7"/>
    <col width="16" customWidth="1" style="32" min="8" max="10"/>
  </cols>
  <sheetData>
    <row r="1" ht="27.75" customHeight="1" s="33">
      <c r="A1" s="34" t="inlineStr">
        <is>
          <t>Funciones condicionales — Ejemplos</t>
        </is>
      </c>
    </row>
    <row r="2" ht="13.5" customHeight="1" s="33"/>
    <row r="3" ht="21.75" customHeight="1" s="33">
      <c r="A3" s="35" t="inlineStr">
        <is>
          <t xml:space="preserve">  Mod 2 — IF, IFS, AND, OR aplicados a datos reales</t>
        </is>
      </c>
    </row>
    <row r="5" ht="15" customHeight="1" s="33">
      <c r="B5" s="42" t="inlineStr">
        <is>
          <t>Student</t>
        </is>
      </c>
      <c r="C5" s="42" t="inlineStr">
        <is>
          <t>Score</t>
        </is>
      </c>
      <c r="D5" s="42" t="inlineStr">
        <is>
          <t>IF Result</t>
        </is>
      </c>
      <c r="E5" s="42" t="inlineStr">
        <is>
          <t>Formula</t>
        </is>
      </c>
      <c r="F5" s="42" t="inlineStr">
        <is>
          <t>IFS Result</t>
        </is>
      </c>
      <c r="G5" s="42" t="inlineStr">
        <is>
          <t>IFS Formula</t>
        </is>
      </c>
    </row>
    <row r="6" ht="15" customHeight="1" s="33">
      <c r="B6" s="43" t="inlineStr">
        <is>
          <t>Ana</t>
        </is>
      </c>
      <c r="C6" s="43" t="n">
        <v>92</v>
      </c>
      <c r="D6" s="43">
        <f>IF(C6&gt;=70,"Pass","Fail")</f>
        <v/>
      </c>
      <c r="E6" s="50">
        <f>IF(C6&gt;=70,"Pass","Fail")</f>
        <v/>
      </c>
      <c r="F6" s="43">
        <f>ifs(C6&gt;=90,"Excellent",C6&gt;=70,"Pass",C6&gt;=50,"Needs Work",TRUE(),"Fail")</f>
        <v/>
      </c>
      <c r="G6" s="50">
        <f>ifs(C6&gt;=90,"Excellent",C6&gt;=70,"Pass",C6&gt;=50,"Needs Work",TRUE(),"Fail")</f>
        <v/>
      </c>
    </row>
    <row r="7" ht="15" customHeight="1" s="33">
      <c r="B7" s="43" t="inlineStr">
        <is>
          <t>Bob</t>
        </is>
      </c>
      <c r="C7" s="43" t="n">
        <v>65</v>
      </c>
      <c r="D7" s="43">
        <f>IF(C7&gt;=70,"Pass","Fail")</f>
        <v/>
      </c>
      <c r="E7" s="50">
        <f>IF(C7&gt;=70,"Pass","Fail")</f>
        <v/>
      </c>
      <c r="F7" s="43">
        <f>ifs(C7&gt;=90,"Excellent",C7&gt;=70,"Pass",C7&gt;=50,"Needs Work",TRUE(),"Fail")</f>
        <v/>
      </c>
      <c r="G7" s="50">
        <f>ifs(C7&gt;=90,"Excellent",C7&gt;=70,"Pass",C7&gt;=50,"Needs Work",TRUE(),"Fail")</f>
        <v/>
      </c>
    </row>
    <row r="8" ht="15" customHeight="1" s="33">
      <c r="B8" s="43" t="inlineStr">
        <is>
          <t>Carol</t>
        </is>
      </c>
      <c r="C8" s="43" t="n">
        <v>78</v>
      </c>
      <c r="D8" s="43">
        <f>IF(C8&gt;=70,"Pass","Fail")</f>
        <v/>
      </c>
      <c r="E8" s="50">
        <f>IF(C8&gt;=70,"Pass","Fail")</f>
        <v/>
      </c>
      <c r="F8" s="43">
        <f>ifs(C8&gt;=90,"Excellent",C8&gt;=70,"Pass",C8&gt;=50,"Needs Work",TRUE(),"Fail")</f>
        <v/>
      </c>
      <c r="G8" s="50">
        <f>ifs(C8&gt;=90,"Excellent",C8&gt;=70,"Pass",C8&gt;=50,"Needs Work",TRUE(),"Fail")</f>
        <v/>
      </c>
    </row>
    <row r="9" ht="15" customHeight="1" s="33">
      <c r="B9" s="43" t="inlineStr">
        <is>
          <t>David</t>
        </is>
      </c>
      <c r="C9" s="43" t="n">
        <v>45</v>
      </c>
      <c r="D9" s="43">
        <f>IF(C9&gt;=70,"Pass","Fail")</f>
        <v/>
      </c>
      <c r="E9" s="50">
        <f>IF(C9&gt;=70,"Pass","Fail")</f>
        <v/>
      </c>
      <c r="F9" s="43">
        <f>ifs(C9&gt;=90,"Excellent",C9&gt;=70,"Pass",C9&gt;=50,"Needs Work",TRUE(),"Fail")</f>
        <v/>
      </c>
      <c r="G9" s="50">
        <f>ifs(C9&gt;=90,"Excellent",C9&gt;=70,"Pass",C9&gt;=50,"Needs Work",TRUE(),"Fail")</f>
        <v/>
      </c>
    </row>
    <row r="10" ht="15" customHeight="1" s="33">
      <c r="B10" s="43" t="inlineStr">
        <is>
          <t>Eva</t>
        </is>
      </c>
      <c r="C10" s="43" t="n">
        <v>88</v>
      </c>
      <c r="D10" s="43">
        <f>IF(C10&gt;=70,"Pass","Fail")</f>
        <v/>
      </c>
      <c r="E10" s="50">
        <f>IF(C10&gt;=70,"Pass","Fail")</f>
        <v/>
      </c>
      <c r="F10" s="43">
        <f>ifs(C10&gt;=90,"Excellent",C10&gt;=70,"Pass",C10&gt;=50,"Needs Work",TRUE(),"Fail")</f>
        <v/>
      </c>
      <c r="G10" s="50">
        <f>ifs(C10&gt;=90,"Excellent",C10&gt;=70,"Pass",C10&gt;=50,"Needs Work",TRUE(),"Fail")</f>
        <v/>
      </c>
    </row>
    <row r="11" ht="15" customHeight="1" s="33">
      <c r="B11" s="43" t="inlineStr">
        <is>
          <t>Frank</t>
        </is>
      </c>
      <c r="C11" s="43" t="n">
        <v>55</v>
      </c>
      <c r="D11" s="43">
        <f>IF(C11&gt;=70,"Pass","Fail")</f>
        <v/>
      </c>
      <c r="E11" s="50">
        <f>IF(C11&gt;=70,"Pass","Fail")</f>
        <v/>
      </c>
      <c r="F11" s="43">
        <f>ifs(C11&gt;=90,"Excellent",C11&gt;=70,"Pass",C11&gt;=50,"Needs Work",TRUE(),"Fail")</f>
        <v/>
      </c>
      <c r="G11" s="50">
        <f>ifs(C11&gt;=90,"Excellent",C11&gt;=70,"Pass",C11&gt;=50,"Needs Work",TRUE(),"Fail")</f>
        <v/>
      </c>
    </row>
    <row r="14" ht="16.15" customHeight="1" s="33">
      <c r="B14" s="38" t="inlineStr">
        <is>
          <t>Ejemplo con AND/OR:</t>
        </is>
      </c>
    </row>
    <row r="15" ht="15" customHeight="1" s="33">
      <c r="B15" s="42" t="inlineStr">
        <is>
          <t>Employee</t>
        </is>
      </c>
      <c r="C15" s="42" t="inlineStr">
        <is>
          <t>Sales</t>
        </is>
      </c>
      <c r="D15" s="42" t="inlineStr">
        <is>
          <t>Dept</t>
        </is>
      </c>
      <c r="E15" s="42" t="inlineStr">
        <is>
          <t>Result</t>
        </is>
      </c>
      <c r="F15" s="42" t="inlineStr">
        <is>
          <t>Formula</t>
        </is>
      </c>
    </row>
    <row r="16" ht="15" customHeight="1" s="33">
      <c r="B16" s="43" t="inlineStr">
        <is>
          <t>Ana</t>
        </is>
      </c>
      <c r="C16" s="44" t="n">
        <v>15000</v>
      </c>
      <c r="D16" s="43" t="inlineStr">
        <is>
          <t>Sales</t>
        </is>
      </c>
      <c r="E16" s="43">
        <f>IF(AND(C16&gt;10000,D16="Sales"),"Bonus","Standard")</f>
        <v/>
      </c>
      <c r="F16" s="50">
        <f>IF(AND(C16&gt;10000,D16="Sales"),"Bonus","Standard")</f>
        <v/>
      </c>
    </row>
    <row r="17" ht="15" customHeight="1" s="33">
      <c r="B17" s="43" t="inlineStr">
        <is>
          <t>Bob</t>
        </is>
      </c>
      <c r="C17" s="44" t="n">
        <v>8000</v>
      </c>
      <c r="D17" s="43" t="inlineStr">
        <is>
          <t>Sales</t>
        </is>
      </c>
      <c r="E17" s="43">
        <f>IF(AND(C17&gt;10000,D17="Sales"),"Bonus","Standard")</f>
        <v/>
      </c>
      <c r="F17" s="50">
        <f>IF(AND(C17&gt;10000,D17="Sales"),"Bonus","Standard")</f>
        <v/>
      </c>
    </row>
    <row r="18" ht="15" customHeight="1" s="33">
      <c r="B18" s="43" t="inlineStr">
        <is>
          <t>Carol</t>
        </is>
      </c>
      <c r="C18" s="44" t="n">
        <v>22000</v>
      </c>
      <c r="D18" s="43" t="inlineStr">
        <is>
          <t>Marketing</t>
        </is>
      </c>
      <c r="E18" s="43">
        <f>IF(AND(C18&gt;10000,D18="Sales"),"Bonus","Standard")</f>
        <v/>
      </c>
      <c r="F18" s="50">
        <f>IF(AND(C18&gt;10000,D18="Sales"),"Bonus","Standard")</f>
        <v/>
      </c>
    </row>
    <row r="19" ht="15" customHeight="1" s="33">
      <c r="B19" s="43" t="inlineStr">
        <is>
          <t>David</t>
        </is>
      </c>
      <c r="C19" s="44" t="n">
        <v>5000</v>
      </c>
      <c r="D19" s="43" t="inlineStr">
        <is>
          <t>IT</t>
        </is>
      </c>
      <c r="E19" s="43">
        <f>IF(AND(C19&gt;10000,D19="Sales"),"Bonus","Standard")</f>
        <v/>
      </c>
      <c r="F19" s="50">
        <f>IF(AND(C19&gt;10000,D19="Sales"),"Bonus","Standard")</f>
        <v/>
      </c>
    </row>
  </sheetData>
  <mergeCells count="2"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36" customWidth="1" style="32" min="2" max="2"/>
    <col width="52" customWidth="1" style="32" min="3" max="3"/>
    <col width="14" customWidth="1" style="32" min="4" max="4"/>
    <col width="16" customWidth="1" style="32" min="5" max="10"/>
  </cols>
  <sheetData>
    <row r="1" ht="27.75" customHeight="1" s="33">
      <c r="A1" s="34" t="inlineStr">
        <is>
          <t>SUMIF, SUMIFS, COUNTIF, COUNTIFS</t>
        </is>
      </c>
    </row>
    <row r="2" ht="13.5" customHeight="1" s="33"/>
    <row r="3" ht="21.75" customHeight="1" s="33">
      <c r="A3" s="35" t="inlineStr">
        <is>
          <t xml:space="preserve">  Mod 3 — Funciones de calculo condicional con datos de ventas</t>
        </is>
      </c>
    </row>
    <row r="5" ht="15" customHeight="1" s="33">
      <c r="B5" s="42" t="inlineStr">
        <is>
          <t>Region</t>
        </is>
      </c>
      <c r="C5" s="42" t="inlineStr">
        <is>
          <t>Category</t>
        </is>
      </c>
      <c r="D5" s="42" t="inlineStr">
        <is>
          <t>Product</t>
        </is>
      </c>
      <c r="E5" s="42" t="inlineStr">
        <is>
          <t>Sales</t>
        </is>
      </c>
      <c r="F5" s="42" t="inlineStr">
        <is>
          <t>Units</t>
        </is>
      </c>
    </row>
    <row r="6" ht="15" customHeight="1" s="33">
      <c r="B6" s="43" t="inlineStr">
        <is>
          <t>Norte</t>
        </is>
      </c>
      <c r="C6" s="43" t="inlineStr">
        <is>
          <t>Electronics</t>
        </is>
      </c>
      <c r="D6" s="43" t="inlineStr">
        <is>
          <t>Laptop</t>
        </is>
      </c>
      <c r="E6" s="44" t="n">
        <v>45000</v>
      </c>
      <c r="F6" s="43" t="n">
        <v>30</v>
      </c>
    </row>
    <row r="7" ht="15" customHeight="1" s="33">
      <c r="B7" s="43" t="inlineStr">
        <is>
          <t>Norte</t>
        </is>
      </c>
      <c r="C7" s="43" t="inlineStr">
        <is>
          <t>Accessories</t>
        </is>
      </c>
      <c r="D7" s="43" t="inlineStr">
        <is>
          <t>Mouse</t>
        </is>
      </c>
      <c r="E7" s="44" t="n">
        <v>4800</v>
      </c>
      <c r="F7" s="43" t="n">
        <v>160</v>
      </c>
    </row>
    <row r="8" ht="15" customHeight="1" s="33">
      <c r="B8" s="43" t="inlineStr">
        <is>
          <t>Sur</t>
        </is>
      </c>
      <c r="C8" s="43" t="inlineStr">
        <is>
          <t>Electronics</t>
        </is>
      </c>
      <c r="D8" s="43" t="inlineStr">
        <is>
          <t>Laptop</t>
        </is>
      </c>
      <c r="E8" s="44" t="n">
        <v>38000</v>
      </c>
      <c r="F8" s="43" t="n">
        <v>25</v>
      </c>
    </row>
    <row r="9" ht="15" customHeight="1" s="33">
      <c r="B9" s="43" t="inlineStr">
        <is>
          <t>Sur</t>
        </is>
      </c>
      <c r="C9" s="43" t="inlineStr">
        <is>
          <t>Accessories</t>
        </is>
      </c>
      <c r="D9" s="43" t="inlineStr">
        <is>
          <t>Keyboard</t>
        </is>
      </c>
      <c r="E9" s="44" t="n">
        <v>7200</v>
      </c>
      <c r="F9" s="43" t="n">
        <v>120</v>
      </c>
    </row>
    <row r="10" ht="15" customHeight="1" s="33">
      <c r="B10" s="43" t="inlineStr">
        <is>
          <t>Este</t>
        </is>
      </c>
      <c r="C10" s="43" t="inlineStr">
        <is>
          <t>Electronics</t>
        </is>
      </c>
      <c r="D10" s="43" t="inlineStr">
        <is>
          <t>Monitor</t>
        </is>
      </c>
      <c r="E10" s="44" t="n">
        <v>28000</v>
      </c>
      <c r="F10" s="43" t="n">
        <v>70</v>
      </c>
    </row>
    <row r="11" ht="15" customHeight="1" s="33">
      <c r="B11" s="43" t="inlineStr">
        <is>
          <t>Este</t>
        </is>
      </c>
      <c r="C11" s="43" t="inlineStr">
        <is>
          <t>Accessories</t>
        </is>
      </c>
      <c r="D11" s="43" t="inlineStr">
        <is>
          <t>Mouse</t>
        </is>
      </c>
      <c r="E11" s="44" t="n">
        <v>3200</v>
      </c>
      <c r="F11" s="43" t="n">
        <v>100</v>
      </c>
    </row>
    <row r="12" ht="15" customHeight="1" s="33">
      <c r="B12" s="43" t="inlineStr">
        <is>
          <t>Oeste</t>
        </is>
      </c>
      <c r="C12" s="43" t="inlineStr">
        <is>
          <t>Electronics</t>
        </is>
      </c>
      <c r="D12" s="43" t="inlineStr">
        <is>
          <t>Laptop</t>
        </is>
      </c>
      <c r="E12" s="44" t="n">
        <v>52000</v>
      </c>
      <c r="F12" s="43" t="n">
        <v>35</v>
      </c>
    </row>
    <row r="13" ht="15" customHeight="1" s="33">
      <c r="B13" s="43" t="inlineStr">
        <is>
          <t>Oeste</t>
        </is>
      </c>
      <c r="C13" s="43" t="inlineStr">
        <is>
          <t>Accessories</t>
        </is>
      </c>
      <c r="D13" s="43" t="inlineStr">
        <is>
          <t>Webcam</t>
        </is>
      </c>
      <c r="E13" s="44" t="n">
        <v>6500</v>
      </c>
      <c r="F13" s="43" t="n">
        <v>130</v>
      </c>
    </row>
    <row r="14" ht="15" customHeight="1" s="33">
      <c r="B14" s="43" t="inlineStr">
        <is>
          <t>Norte</t>
        </is>
      </c>
      <c r="C14" s="43" t="inlineStr">
        <is>
          <t>Electronics</t>
        </is>
      </c>
      <c r="D14" s="43" t="inlineStr">
        <is>
          <t>Monitor</t>
        </is>
      </c>
      <c r="E14" s="44" t="n">
        <v>31000</v>
      </c>
      <c r="F14" s="43" t="n">
        <v>78</v>
      </c>
    </row>
    <row r="15" ht="15" customHeight="1" s="33">
      <c r="B15" s="43" t="inlineStr">
        <is>
          <t>Sur</t>
        </is>
      </c>
      <c r="C15" s="43" t="inlineStr">
        <is>
          <t>Electronics</t>
        </is>
      </c>
      <c r="D15" s="43" t="inlineStr">
        <is>
          <t>Monitor</t>
        </is>
      </c>
      <c r="E15" s="44" t="n">
        <v>25000</v>
      </c>
      <c r="F15" s="43" t="n">
        <v>62</v>
      </c>
    </row>
    <row r="16" ht="15" customHeight="1" s="33">
      <c r="B16" s="43" t="inlineStr">
        <is>
          <t>Norte</t>
        </is>
      </c>
      <c r="C16" s="43" t="inlineStr">
        <is>
          <t>Accessories</t>
        </is>
      </c>
      <c r="D16" s="43" t="inlineStr">
        <is>
          <t>Keyboard</t>
        </is>
      </c>
      <c r="E16" s="44" t="n">
        <v>5400</v>
      </c>
      <c r="F16" s="43" t="n">
        <v>90</v>
      </c>
    </row>
    <row r="17" ht="15" customHeight="1" s="33">
      <c r="B17" s="43" t="inlineStr">
        <is>
          <t>Este</t>
        </is>
      </c>
      <c r="C17" s="43" t="inlineStr">
        <is>
          <t>Accessories</t>
        </is>
      </c>
      <c r="D17" s="43" t="inlineStr">
        <is>
          <t>Webcam</t>
        </is>
      </c>
      <c r="E17" s="44" t="n">
        <v>4100</v>
      </c>
      <c r="F17" s="43" t="n">
        <v>82</v>
      </c>
    </row>
    <row r="19" ht="16.15" customHeight="1" s="33">
      <c r="B19" s="38" t="inlineStr">
        <is>
          <t>Ejemplos de formulas condicionales</t>
        </is>
      </c>
    </row>
    <row r="21" ht="15" customHeight="1" s="33">
      <c r="B21" s="42" t="inlineStr">
        <is>
          <t>Descripcion</t>
        </is>
      </c>
      <c r="C21" s="42" t="inlineStr">
        <is>
          <t>Formula</t>
        </is>
      </c>
      <c r="D21" s="42" t="inlineStr">
        <is>
          <t>Resultado</t>
        </is>
      </c>
    </row>
    <row r="22" ht="15" customHeight="1" s="33">
      <c r="B22" s="43" t="inlineStr">
        <is>
          <t>Sales del Norte</t>
        </is>
      </c>
      <c r="C22" s="50">
        <f>SUMIF(B6:B17,"Norte",E6:E17)</f>
        <v/>
      </c>
      <c r="D22" s="51">
        <f>SUMIF(B6:B17,"Norte",E6:E17)</f>
        <v/>
      </c>
    </row>
    <row r="23" ht="15" customHeight="1" s="33">
      <c r="B23" s="43" t="inlineStr">
        <is>
          <t>Sales Norte + Electronics</t>
        </is>
      </c>
      <c r="C23" s="50">
        <f>SUMIFS(E6:E17,B6:B17,"Norte",C6:C17,"Electronics")</f>
        <v/>
      </c>
      <c r="D23" s="51">
        <f>SUMIFS(E6:E17,B6:B17,"Norte",C6:C17,"Electronics")</f>
        <v/>
      </c>
    </row>
    <row r="24" ht="15" customHeight="1" s="33">
      <c r="B24" s="43" t="inlineStr">
        <is>
          <t>Cuantas ventas &gt; 10000</t>
        </is>
      </c>
      <c r="C24" s="50">
        <f>COUNTIF(E6:E17,"&gt;10000")</f>
        <v/>
      </c>
      <c r="D24" s="51">
        <f>COUNTIF(E6:E17,"&gt;10000")</f>
        <v/>
      </c>
    </row>
    <row r="25" ht="15" customHeight="1" s="33">
      <c r="B25" s="43" t="inlineStr">
        <is>
          <t>Ventas Electronics en Sur</t>
        </is>
      </c>
      <c r="C25" s="50">
        <f>COUNTIFS(B6:B17,"Sur",C6:C17,"Electronics")</f>
        <v/>
      </c>
      <c r="D25" s="51">
        <f>COUNTIFS(B6:B17,"Sur",C6:C17,"Electronics")</f>
        <v/>
      </c>
    </row>
    <row r="26" ht="15" customHeight="1" s="33">
      <c r="B26" s="43" t="inlineStr">
        <is>
          <t>Promedio Sales del Norte</t>
        </is>
      </c>
      <c r="C26" s="50">
        <f>AVERAGEIF(B6:B17,"Norte",E6:E17)</f>
        <v/>
      </c>
      <c r="D26" s="51">
        <f>AVERAGEIF(B6:B17,"Norte",E6:E17)</f>
        <v/>
      </c>
    </row>
    <row r="27" ht="15" customHeight="1" s="33">
      <c r="B27" s="43" t="inlineStr">
        <is>
          <t>Ventas con Laptop</t>
        </is>
      </c>
      <c r="C27" s="50">
        <f>SUMIF(D6:D17,"Laptop",E6:E17)</f>
        <v/>
      </c>
      <c r="D27" s="51">
        <f>SUMIF(D6:D17,"Laptop",E6:E17)</f>
        <v/>
      </c>
    </row>
  </sheetData>
  <mergeCells count="2"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24" customWidth="1" style="32" min="2" max="2"/>
    <col width="36" customWidth="1" style="32" min="3" max="3"/>
    <col width="20" customWidth="1" style="32" min="4" max="4"/>
    <col width="40" customWidth="1" style="32" min="5" max="5"/>
    <col width="16" customWidth="1" style="32" min="6" max="10"/>
  </cols>
  <sheetData>
    <row r="1" ht="27.75" customHeight="1" s="33">
      <c r="A1" s="34" t="inlineStr">
        <is>
          <t>Funciones de texto — Ejemplos</t>
        </is>
      </c>
    </row>
    <row r="2" ht="13.5" customHeight="1" s="33"/>
    <row r="3" ht="21.75" customHeight="1" s="33">
      <c r="A3" s="35" t="inlineStr">
        <is>
          <t xml:space="preserve">  Mod 4 — LEFT, RIGHT, MID, TRIM, CONCAT, TEXT con datos reales</t>
        </is>
      </c>
    </row>
    <row r="5" ht="15" customHeight="1" s="33">
      <c r="B5" s="42" t="inlineStr">
        <is>
          <t>Dato original</t>
        </is>
      </c>
      <c r="C5" s="42" t="inlineStr">
        <is>
          <t>Formula</t>
        </is>
      </c>
      <c r="D5" s="42" t="inlineStr">
        <is>
          <t>Resultado</t>
        </is>
      </c>
      <c r="E5" s="42" t="inlineStr">
        <is>
          <t>Explicacion</t>
        </is>
      </c>
    </row>
    <row r="6" ht="15" customHeight="1" s="33">
      <c r="B6" s="43" t="inlineStr">
        <is>
          <t>INV-2025-0034</t>
        </is>
      </c>
      <c r="C6" s="50">
        <f>LEFT(B6,3)</f>
        <v/>
      </c>
      <c r="D6" s="52">
        <f>LEFT(B6,3)</f>
        <v/>
      </c>
      <c r="E6" s="53" t="inlineStr">
        <is>
          <t>Primeros 3 caracteres</t>
        </is>
      </c>
    </row>
    <row r="7" ht="15" customHeight="1" s="33">
      <c r="B7" s="43" t="inlineStr">
        <is>
          <t>INV-2025-0034</t>
        </is>
      </c>
      <c r="C7" s="50">
        <f>RIGHT(B7,4)</f>
        <v/>
      </c>
      <c r="D7" s="52">
        <f>RIGHT(B7,4)</f>
        <v/>
      </c>
      <c r="E7" s="53" t="inlineStr">
        <is>
          <t>Ultimos 4 caracteres</t>
        </is>
      </c>
    </row>
    <row r="8" ht="15" customHeight="1" s="33">
      <c r="B8" s="43" t="inlineStr">
        <is>
          <t>INV-2025-0034</t>
        </is>
      </c>
      <c r="C8" s="50">
        <f>MID(B8,5,4)</f>
        <v/>
      </c>
      <c r="D8" s="52">
        <f>MID(B8,5,4)</f>
        <v/>
      </c>
      <c r="E8" s="53" t="inlineStr">
        <is>
          <t>4 caracteres desde posicion 5</t>
        </is>
      </c>
    </row>
    <row r="9" ht="15" customHeight="1" s="33">
      <c r="B9" s="43" t="inlineStr">
        <is>
          <t xml:space="preserve">  Juan  Perez  </t>
        </is>
      </c>
      <c r="C9" s="50">
        <f>TRIM(B9)</f>
        <v/>
      </c>
      <c r="D9" s="52">
        <f>TRIM(B9)</f>
        <v/>
      </c>
      <c r="E9" s="53" t="inlineStr">
        <is>
          <t>Elimina espacios extra</t>
        </is>
      </c>
    </row>
    <row r="10" ht="15" customHeight="1" s="33">
      <c r="B10" s="43" t="inlineStr">
        <is>
          <t>juan perez</t>
        </is>
      </c>
      <c r="C10" s="50">
        <f>PROPER(B10)</f>
        <v/>
      </c>
      <c r="D10" s="52">
        <f>PROPER(B10)</f>
        <v/>
      </c>
      <c r="E10" s="53" t="inlineStr">
        <is>
          <t>Primera letra mayuscula</t>
        </is>
      </c>
    </row>
    <row r="11" ht="15" customHeight="1" s="33">
      <c r="B11" s="43" t="inlineStr">
        <is>
          <t>EXCEL COURSE</t>
        </is>
      </c>
      <c r="C11" s="50">
        <f>LOWER(B11)</f>
        <v/>
      </c>
      <c r="D11" s="52">
        <f>LOWER(B11)</f>
        <v/>
      </c>
      <c r="E11" s="53" t="inlineStr">
        <is>
          <t>Todo minusculas</t>
        </is>
      </c>
    </row>
    <row r="12" ht="15" customHeight="1" s="33">
      <c r="B12" s="43" t="inlineStr">
        <is>
          <t>user@email.com</t>
        </is>
      </c>
      <c r="C12" s="50">
        <f>LEFT(B12,FIND("@",B12)-1)</f>
        <v/>
      </c>
      <c r="D12" s="52">
        <f>LEFT(B12,FIND("@",B12)-1)</f>
        <v/>
      </c>
      <c r="E12" s="53" t="inlineStr">
        <is>
          <t>Extrae usuario del email</t>
        </is>
      </c>
    </row>
    <row r="15" ht="16.15" customHeight="1" s="33">
      <c r="B15" s="38" t="inlineStr">
        <is>
          <t>CONCAT y TEXTJOIN:</t>
        </is>
      </c>
    </row>
    <row r="16" ht="15" customHeight="1" s="33">
      <c r="B16" s="48" t="inlineStr">
        <is>
          <t>Juan</t>
        </is>
      </c>
      <c r="C16" s="48" t="inlineStr">
        <is>
          <t>Perez</t>
        </is>
      </c>
      <c r="D16" s="47">
        <f>B16&amp;" "&amp;C16</f>
        <v/>
      </c>
      <c r="E16" s="36">
        <f>B16&amp;" "&amp;C16</f>
        <v/>
      </c>
    </row>
    <row r="17" ht="15" customHeight="1" s="33">
      <c r="B17" s="54" t="n">
        <v>45231</v>
      </c>
      <c r="C17" s="47">
        <f>TEXT(B17,"DD-MMM-YYYY")</f>
        <v/>
      </c>
    </row>
  </sheetData>
  <mergeCells count="3">
    <mergeCell ref="C17:E17"/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28" customWidth="1" style="32" min="2" max="2"/>
    <col width="40" customWidth="1" style="32" min="3" max="3"/>
    <col width="18" customWidth="1" style="32" min="4" max="4"/>
    <col width="32" customWidth="1" style="32" min="5" max="5"/>
    <col width="16" customWidth="1" style="32" min="6" max="10"/>
  </cols>
  <sheetData>
    <row r="1" ht="27.75" customHeight="1" s="33">
      <c r="A1" s="34" t="inlineStr">
        <is>
          <t>Funciones de fecha — Ejemplos</t>
        </is>
      </c>
    </row>
    <row r="2" ht="13.5" customHeight="1" s="33"/>
    <row r="3" ht="21.75" customHeight="1" s="33">
      <c r="A3" s="35" t="inlineStr">
        <is>
          <t xml:space="preserve">  Mod 5 — TODAY, DATEDIF, EDATE, EOMONTH, NETWORKDAYS</t>
        </is>
      </c>
    </row>
    <row r="5" ht="15" customHeight="1" s="33">
      <c r="B5" s="42" t="inlineStr">
        <is>
          <t>Descripcion</t>
        </is>
      </c>
      <c r="C5" s="42" t="inlineStr">
        <is>
          <t>Formula</t>
        </is>
      </c>
      <c r="D5" s="42" t="inlineStr">
        <is>
          <t>Resultado</t>
        </is>
      </c>
      <c r="E5" s="42" t="inlineStr">
        <is>
          <t>Notas</t>
        </is>
      </c>
    </row>
    <row r="6" ht="15" customHeight="1" s="33">
      <c r="B6" s="43" t="inlineStr">
        <is>
          <t>Fecha de hoy</t>
        </is>
      </c>
      <c r="C6" s="55">
        <f>TODAY()</f>
        <v/>
      </c>
      <c r="D6" s="56">
        <f>TODAY()</f>
        <v/>
      </c>
      <c r="E6" s="53" t="inlineStr">
        <is>
          <t>Se actualiza automaticamente</t>
        </is>
      </c>
    </row>
    <row r="7" ht="15" customHeight="1" s="33">
      <c r="B7" s="43" t="inlineStr">
        <is>
          <t>Ano de hoy</t>
        </is>
      </c>
      <c r="C7" s="50">
        <f>YEAR(TODAY())</f>
        <v/>
      </c>
      <c r="D7" s="52">
        <f>YEAR(TODAY())</f>
        <v/>
      </c>
      <c r="E7" s="53" t="inlineStr">
        <is>
          <t>Extrae el ano</t>
        </is>
      </c>
    </row>
    <row r="8" ht="15" customHeight="1" s="33">
      <c r="B8" s="43" t="inlineStr">
        <is>
          <t>Mes de hoy</t>
        </is>
      </c>
      <c r="C8" s="50">
        <f>MONTH(TODAY())</f>
        <v/>
      </c>
      <c r="D8" s="52">
        <f>MONTH(TODAY())</f>
        <v/>
      </c>
      <c r="E8" s="53" t="inlineStr">
        <is>
          <t>Extrae el mes como numero</t>
        </is>
      </c>
    </row>
    <row r="9" ht="15" customHeight="1" s="33">
      <c r="B9" s="43" t="inlineStr">
        <is>
          <t>Ultimo dia del mes actual</t>
        </is>
      </c>
      <c r="C9" s="50">
        <f>EOMONTH(TODAY(),0)</f>
        <v/>
      </c>
      <c r="D9" s="52">
        <f>EOMONTH(TODAY(),0)</f>
        <v/>
      </c>
      <c r="E9" s="53" t="inlineStr">
        <is>
          <t>0 = mes actual, 1 = proximo mes</t>
        </is>
      </c>
    </row>
    <row r="10" ht="15" customHeight="1" s="33">
      <c r="B10" s="43" t="inlineStr">
        <is>
          <t>Hace 3 meses</t>
        </is>
      </c>
      <c r="C10" s="50">
        <f>EDATE(TODAY(),-3)</f>
        <v/>
      </c>
      <c r="D10" s="52">
        <f>EDATE(TODAY(),-3)</f>
        <v/>
      </c>
      <c r="E10" s="53" t="inlineStr">
        <is>
          <t>Negativo = meses atras</t>
        </is>
      </c>
    </row>
    <row r="13" ht="16.15" customHeight="1" s="33">
      <c r="B13" s="38" t="inlineStr">
        <is>
          <t>Ejemplo DATEDIF y NETWORKDAYS</t>
        </is>
      </c>
    </row>
    <row r="14" ht="15" customHeight="1" s="33">
      <c r="B14" s="42" t="inlineStr">
        <is>
          <t>Employee</t>
        </is>
      </c>
      <c r="C14" s="42" t="inlineStr">
        <is>
          <t>Start Date</t>
        </is>
      </c>
      <c r="D14" s="42" t="inlineStr">
        <is>
          <t>Years</t>
        </is>
      </c>
      <c r="E14" s="42" t="inlineStr">
        <is>
          <t>Months</t>
        </is>
      </c>
      <c r="F14" s="42" t="inlineStr">
        <is>
          <t>Work Days to Today</t>
        </is>
      </c>
    </row>
    <row r="15" ht="15" customHeight="1" s="33">
      <c r="B15" s="43" t="inlineStr">
        <is>
          <t>Ana Lopez</t>
        </is>
      </c>
      <c r="C15" s="43" t="inlineStr">
        <is>
          <t>2020-03-15</t>
        </is>
      </c>
      <c r="D15" s="43">
        <f>DATEDIF(C15,TODAY(),"Y")</f>
        <v/>
      </c>
      <c r="E15" s="43">
        <f>DATEDIF(C15,TODAY(),"M")</f>
        <v/>
      </c>
      <c r="F15" s="44">
        <f>NETWORKDAYS(C15,TODAY())</f>
        <v/>
      </c>
    </row>
    <row r="16" ht="15" customHeight="1" s="33">
      <c r="B16" s="43" t="inlineStr">
        <is>
          <t>Carlos Ruiz</t>
        </is>
      </c>
      <c r="C16" s="43" t="inlineStr">
        <is>
          <t>2018-07-01</t>
        </is>
      </c>
      <c r="D16" s="43">
        <f>DATEDIF(C16,TODAY(),"Y")</f>
        <v/>
      </c>
      <c r="E16" s="43">
        <f>DATEDIF(C16,TODAY(),"M")</f>
        <v/>
      </c>
      <c r="F16" s="44">
        <f>NETWORKDAYS(C16,TODAY())</f>
        <v/>
      </c>
    </row>
    <row r="17" ht="15" customHeight="1" s="33">
      <c r="B17" s="43" t="inlineStr">
        <is>
          <t>Maria Torres</t>
        </is>
      </c>
      <c r="C17" s="43" t="inlineStr">
        <is>
          <t>2022-01-10</t>
        </is>
      </c>
      <c r="D17" s="43">
        <f>DATEDIF(C17,TODAY(),"Y")</f>
        <v/>
      </c>
      <c r="E17" s="43">
        <f>DATEDIF(C17,TODAY(),"M")</f>
        <v/>
      </c>
      <c r="F17" s="44">
        <f>NETWORKDAYS(C17,TODAY())</f>
        <v/>
      </c>
    </row>
  </sheetData>
  <mergeCells count="2"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6" customWidth="1" style="32" min="2" max="10"/>
  </cols>
  <sheetData>
    <row r="1" ht="27.75" customHeight="1" s="33">
      <c r="A1" s="34" t="inlineStr">
        <is>
          <t>Data Validation — Ejemplo</t>
        </is>
      </c>
    </row>
    <row r="2" ht="13.5" customHeight="1" s="33"/>
    <row r="3" ht="21.75" customHeight="1" s="33">
      <c r="A3" s="35" t="inlineStr">
        <is>
          <t xml:space="preserve">  Mod 6 — Drop-down Lists y validaciones</t>
        </is>
      </c>
    </row>
    <row r="5" ht="16.15" customHeight="1" s="33">
      <c r="B5" s="38" t="inlineStr">
        <is>
          <t>Lista de opciones (fuente de la validacion):</t>
        </is>
      </c>
    </row>
    <row r="6" ht="15" customHeight="1" s="33">
      <c r="B6" s="57" t="inlineStr">
        <is>
          <t>Pending</t>
        </is>
      </c>
      <c r="C6" s="57" t="inlineStr">
        <is>
          <t>In Progress</t>
        </is>
      </c>
      <c r="D6" s="57" t="inlineStr">
        <is>
          <t>Completed</t>
        </is>
      </c>
      <c r="E6" s="57" t="inlineStr">
        <is>
          <t>Cancelled</t>
        </is>
      </c>
    </row>
    <row r="8" ht="16.15" customHeight="1" s="33">
      <c r="B8" s="38" t="inlineStr">
        <is>
          <t>Tabla con Drop-down en columna Status:</t>
        </is>
      </c>
    </row>
    <row r="9" ht="15" customHeight="1" s="33">
      <c r="B9" s="42" t="inlineStr">
        <is>
          <t>Task</t>
        </is>
      </c>
      <c r="C9" s="42" t="inlineStr">
        <is>
          <t>Assigned To</t>
        </is>
      </c>
      <c r="D9" s="42" t="inlineStr">
        <is>
          <t>Due Date</t>
        </is>
      </c>
      <c r="E9" s="42" t="inlineStr">
        <is>
          <t>Status</t>
        </is>
      </c>
    </row>
    <row r="10" ht="15" customHeight="1" s="33">
      <c r="B10" s="43" t="inlineStr">
        <is>
          <t>Setup database</t>
        </is>
      </c>
      <c r="C10" s="43" t="inlineStr">
        <is>
          <t>Ana</t>
        </is>
      </c>
      <c r="D10" s="43" t="inlineStr">
        <is>
          <t>2025-04-15</t>
        </is>
      </c>
      <c r="E10" s="58" t="n"/>
    </row>
    <row r="11" ht="15" customHeight="1" s="33">
      <c r="B11" s="43" t="inlineStr">
        <is>
          <t>Design UI</t>
        </is>
      </c>
      <c r="C11" s="43" t="inlineStr">
        <is>
          <t>Carlos</t>
        </is>
      </c>
      <c r="D11" s="43" t="inlineStr">
        <is>
          <t>2025-04-20</t>
        </is>
      </c>
      <c r="E11" s="58" t="n"/>
    </row>
    <row r="12" ht="15" customHeight="1" s="33">
      <c r="B12" s="43" t="inlineStr">
        <is>
          <t>Write tests</t>
        </is>
      </c>
      <c r="C12" s="43" t="inlineStr">
        <is>
          <t>Maria</t>
        </is>
      </c>
      <c r="D12" s="43" t="inlineStr">
        <is>
          <t>2025-04-25</t>
        </is>
      </c>
      <c r="E12" s="58" t="n"/>
    </row>
    <row r="13" ht="15" customHeight="1" s="33">
      <c r="B13" s="43" t="inlineStr">
        <is>
          <t>Deploy v1</t>
        </is>
      </c>
      <c r="C13" s="43" t="inlineStr">
        <is>
          <t>Juan</t>
        </is>
      </c>
      <c r="D13" s="43" t="inlineStr">
        <is>
          <t>2025-05-01</t>
        </is>
      </c>
      <c r="E13" s="58" t="n"/>
    </row>
    <row r="15" ht="15" customHeight="1" s="33">
      <c r="B15" s="39" t="inlineStr">
        <is>
          <t>Haz clic en las celdas amarillas de Status para ver el dropdown.</t>
        </is>
      </c>
    </row>
  </sheetData>
  <mergeCells count="2">
    <mergeCell ref="A1:J2"/>
    <mergeCell ref="A3:J3"/>
  </mergeCells>
  <dataValidations count="1">
    <dataValidation sqref="E10:E13" showDropDown="0" showInputMessage="0" showErrorMessage="0" allowBlank="1" error="Selecciona un estatus valido" prompt="Elige el estatus de la tarea" type="list" errorStyle="stop" operator="between">
      <formula1>$B$6:$E$6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34" customWidth="1" style="32" min="2" max="2"/>
    <col width="50" customWidth="1" style="32" min="3" max="3"/>
    <col width="16" customWidth="1" style="32" min="4" max="10"/>
  </cols>
  <sheetData>
    <row r="1" ht="27.75" customHeight="1" s="33">
      <c r="A1" s="34" t="inlineStr">
        <is>
          <t>Named Ranges — Ejemplos</t>
        </is>
      </c>
    </row>
    <row r="2" ht="13.5" customHeight="1" s="33"/>
    <row r="3" ht="21.75" customHeight="1" s="33">
      <c r="A3" s="35" t="inlineStr">
        <is>
          <t xml:space="preserve">  Mod 7 — Como los nombres hacen las formulas mas legibles</t>
        </is>
      </c>
    </row>
    <row r="5" ht="15" customHeight="1" s="33">
      <c r="B5" s="59" t="inlineStr">
        <is>
          <t>Sin Named Ranges</t>
        </is>
      </c>
    </row>
    <row r="6" ht="15" customHeight="1" s="33">
      <c r="B6" s="48" t="inlineStr">
        <is>
          <t>Formula:</t>
        </is>
      </c>
      <c r="C6" s="47">
        <f>SUMIFS(D2:D5000, A2:A5000, "Norte", C2:C5000, "&gt;1000")</f>
        <v/>
      </c>
    </row>
    <row r="8" ht="15" customHeight="1" s="33">
      <c r="B8" s="60" t="inlineStr">
        <is>
          <t>Con Named Ranges</t>
        </is>
      </c>
    </row>
    <row r="9" ht="15" customHeight="1" s="33">
      <c r="B9" s="48" t="inlineStr">
        <is>
          <t>Formula:</t>
        </is>
      </c>
      <c r="C9" s="61">
        <f>SUMIFS(sales, region, "Norte", amount, "&gt;1000")</f>
        <v/>
      </c>
    </row>
    <row r="11" ht="16.15" customHeight="1" s="33">
      <c r="B11" s="38" t="inlineStr">
        <is>
          <t>Como crearlos:</t>
        </is>
      </c>
    </row>
    <row r="12" ht="15" customHeight="1" s="33">
      <c r="B12" s="48" t="inlineStr">
        <is>
          <t>1. Selecciona el rango (ej: D2:D5000)</t>
        </is>
      </c>
    </row>
    <row r="13" ht="15" customHeight="1" s="33">
      <c r="B13" s="48" t="inlineStr">
        <is>
          <t>2. Haz clic en el Name Box (izquierda de Formula Bar)</t>
        </is>
      </c>
    </row>
    <row r="14" ht="15" customHeight="1" s="33">
      <c r="B14" s="48" t="inlineStr">
        <is>
          <t>3. Escribe el nombre (ej: Sales) y presiona Enter</t>
        </is>
      </c>
    </row>
    <row r="15" ht="15" customHeight="1" s="33">
      <c r="B15" s="48" t="inlineStr">
        <is>
          <t>4. Repite para cada rango que quieras nombrar</t>
        </is>
      </c>
    </row>
    <row r="16" ht="15" customHeight="1" s="33">
      <c r="B16" s="48" t="inlineStr">
        <is>
          <t>5. Formulas &gt; Name Manager para ver y gestionar todos</t>
        </is>
      </c>
    </row>
  </sheetData>
  <mergeCells count="2"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6" customWidth="1" style="32" min="2" max="10"/>
  </cols>
  <sheetData>
    <row r="1" ht="27.75" customHeight="1" s="33">
      <c r="A1" s="34" t="inlineStr">
        <is>
          <t>Dataset para PivotTables</t>
        </is>
      </c>
    </row>
    <row r="2" ht="13.5" customHeight="1" s="33"/>
    <row r="3" ht="21.75" customHeight="1" s="33">
      <c r="A3" s="35" t="inlineStr">
        <is>
          <t xml:space="preserve">  Mod 8 — Usa estos datos para crear PivotTables (Insert &gt; PivotTable)</t>
        </is>
      </c>
    </row>
    <row r="5" ht="15" customHeight="1" s="33">
      <c r="B5" s="39" t="inlineStr">
        <is>
          <t>Instrucciones: Selecciona cualquier celda de la tabla y ve a Insert &gt; PivotTable &gt; New Worksheet.</t>
        </is>
      </c>
    </row>
    <row r="7" ht="15" customHeight="1" s="33">
      <c r="B7" s="42" t="inlineStr">
        <is>
          <t>Date</t>
        </is>
      </c>
      <c r="C7" s="42" t="inlineStr">
        <is>
          <t>Region</t>
        </is>
      </c>
      <c r="D7" s="42" t="inlineStr">
        <is>
          <t>Category</t>
        </is>
      </c>
      <c r="E7" s="42" t="inlineStr">
        <is>
          <t>Product</t>
        </is>
      </c>
      <c r="F7" s="42" t="inlineStr">
        <is>
          <t>Sales</t>
        </is>
      </c>
      <c r="G7" s="42" t="inlineStr">
        <is>
          <t>Units</t>
        </is>
      </c>
      <c r="H7" s="42" t="inlineStr">
        <is>
          <t>Salesperson</t>
        </is>
      </c>
    </row>
    <row r="8" ht="15" customHeight="1" s="33">
      <c r="B8" s="43" t="inlineStr">
        <is>
          <t>2025-01-09</t>
        </is>
      </c>
      <c r="C8" s="43" t="inlineStr">
        <is>
          <t>Norte</t>
        </is>
      </c>
      <c r="D8" s="43" t="inlineStr">
        <is>
          <t>Electronics</t>
        </is>
      </c>
      <c r="E8" s="43" t="inlineStr">
        <is>
          <t>Webcam</t>
        </is>
      </c>
      <c r="F8" s="44" t="n">
        <v>10296</v>
      </c>
      <c r="G8" s="43" t="n">
        <v>16</v>
      </c>
      <c r="H8" s="43" t="inlineStr">
        <is>
          <t>Pedro Diaz</t>
        </is>
      </c>
    </row>
    <row r="9" ht="15" customHeight="1" s="33">
      <c r="B9" s="43" t="inlineStr">
        <is>
          <t>2025-01-04</t>
        </is>
      </c>
      <c r="C9" s="43" t="inlineStr">
        <is>
          <t>Norte</t>
        </is>
      </c>
      <c r="D9" s="43" t="inlineStr">
        <is>
          <t>Accessories</t>
        </is>
      </c>
      <c r="E9" s="43" t="inlineStr">
        <is>
          <t>Mouse</t>
        </is>
      </c>
      <c r="F9" s="44" t="n">
        <v>17628</v>
      </c>
      <c r="G9" s="43" t="n">
        <v>45</v>
      </c>
      <c r="H9" s="43" t="inlineStr">
        <is>
          <t>Pedro Diaz</t>
        </is>
      </c>
    </row>
    <row r="10" ht="15" customHeight="1" s="33">
      <c r="B10" s="43" t="inlineStr">
        <is>
          <t>2025-01-19</t>
        </is>
      </c>
      <c r="C10" s="43" t="inlineStr">
        <is>
          <t>Sur</t>
        </is>
      </c>
      <c r="D10" s="43" t="inlineStr">
        <is>
          <t>Electronics</t>
        </is>
      </c>
      <c r="E10" s="43" t="inlineStr">
        <is>
          <t>Webcam</t>
        </is>
      </c>
      <c r="F10" s="44" t="n">
        <v>51540</v>
      </c>
      <c r="G10" s="43" t="n">
        <v>149</v>
      </c>
      <c r="H10" s="43" t="inlineStr">
        <is>
          <t>Ana Lopez</t>
        </is>
      </c>
    </row>
    <row r="11" ht="15" customHeight="1" s="33">
      <c r="B11" s="43" t="inlineStr">
        <is>
          <t>2025-01-07</t>
        </is>
      </c>
      <c r="C11" s="43" t="inlineStr">
        <is>
          <t>Sur</t>
        </is>
      </c>
      <c r="D11" s="43" t="inlineStr">
        <is>
          <t>Accessories</t>
        </is>
      </c>
      <c r="E11" s="43" t="inlineStr">
        <is>
          <t>Keyboard</t>
        </is>
      </c>
      <c r="F11" s="44" t="n">
        <v>5082</v>
      </c>
      <c r="G11" s="43" t="n">
        <v>17</v>
      </c>
      <c r="H11" s="43" t="inlineStr">
        <is>
          <t>Ana Lopez</t>
        </is>
      </c>
    </row>
    <row r="12" ht="15" customHeight="1" s="33">
      <c r="B12" s="43" t="inlineStr">
        <is>
          <t>2025-01-18</t>
        </is>
      </c>
      <c r="C12" s="43" t="inlineStr">
        <is>
          <t>Este</t>
        </is>
      </c>
      <c r="D12" s="43" t="inlineStr">
        <is>
          <t>Electronics</t>
        </is>
      </c>
      <c r="E12" s="43" t="inlineStr">
        <is>
          <t>Laptop</t>
        </is>
      </c>
      <c r="F12" s="44" t="n">
        <v>36118</v>
      </c>
      <c r="G12" s="43" t="n">
        <v>164</v>
      </c>
      <c r="H12" s="43" t="inlineStr">
        <is>
          <t>Ana Lopez</t>
        </is>
      </c>
    </row>
    <row r="13" ht="15" customHeight="1" s="33">
      <c r="B13" s="43" t="inlineStr">
        <is>
          <t>2025-01-18</t>
        </is>
      </c>
      <c r="C13" s="43" t="inlineStr">
        <is>
          <t>Este</t>
        </is>
      </c>
      <c r="D13" s="43" t="inlineStr">
        <is>
          <t>Accessories</t>
        </is>
      </c>
      <c r="E13" s="43" t="inlineStr">
        <is>
          <t>Mouse</t>
        </is>
      </c>
      <c r="F13" s="44" t="n">
        <v>49925</v>
      </c>
      <c r="G13" s="43" t="n">
        <v>176</v>
      </c>
      <c r="H13" s="43" t="inlineStr">
        <is>
          <t>Pedro Diaz</t>
        </is>
      </c>
    </row>
    <row r="14" ht="15" customHeight="1" s="33">
      <c r="B14" s="43" t="inlineStr">
        <is>
          <t>2025-01-09</t>
        </is>
      </c>
      <c r="C14" s="43" t="inlineStr">
        <is>
          <t>Oeste</t>
        </is>
      </c>
      <c r="D14" s="43" t="inlineStr">
        <is>
          <t>Electronics</t>
        </is>
      </c>
      <c r="E14" s="43" t="inlineStr">
        <is>
          <t>Monitor</t>
        </is>
      </c>
      <c r="F14" s="44" t="n">
        <v>17446</v>
      </c>
      <c r="G14" s="43" t="n">
        <v>124</v>
      </c>
      <c r="H14" s="43" t="inlineStr">
        <is>
          <t>Laura Gomez</t>
        </is>
      </c>
    </row>
    <row r="15" ht="15" customHeight="1" s="33">
      <c r="B15" s="43" t="inlineStr">
        <is>
          <t>2025-01-14</t>
        </is>
      </c>
      <c r="C15" s="43" t="inlineStr">
        <is>
          <t>Oeste</t>
        </is>
      </c>
      <c r="D15" s="43" t="inlineStr">
        <is>
          <t>Accessories</t>
        </is>
      </c>
      <c r="E15" s="43" t="inlineStr">
        <is>
          <t>Mouse</t>
        </is>
      </c>
      <c r="F15" s="44" t="n">
        <v>52729</v>
      </c>
      <c r="G15" s="43" t="n">
        <v>50</v>
      </c>
      <c r="H15" s="43" t="inlineStr">
        <is>
          <t>Pedro Diaz</t>
        </is>
      </c>
    </row>
    <row r="16" ht="15" customHeight="1" s="33">
      <c r="B16" s="43" t="inlineStr">
        <is>
          <t>2025-02-25</t>
        </is>
      </c>
      <c r="C16" s="43" t="inlineStr">
        <is>
          <t>Norte</t>
        </is>
      </c>
      <c r="D16" s="43" t="inlineStr">
        <is>
          <t>Electronics</t>
        </is>
      </c>
      <c r="E16" s="43" t="inlineStr">
        <is>
          <t>Monitor</t>
        </is>
      </c>
      <c r="F16" s="44" t="n">
        <v>21210</v>
      </c>
      <c r="G16" s="43" t="n">
        <v>49</v>
      </c>
      <c r="H16" s="43" t="inlineStr">
        <is>
          <t>Carlos Ruiz</t>
        </is>
      </c>
    </row>
    <row r="17" ht="15" customHeight="1" s="33">
      <c r="B17" s="43" t="inlineStr">
        <is>
          <t>2025-02-04</t>
        </is>
      </c>
      <c r="C17" s="43" t="inlineStr">
        <is>
          <t>Norte</t>
        </is>
      </c>
      <c r="D17" s="43" t="inlineStr">
        <is>
          <t>Accessories</t>
        </is>
      </c>
      <c r="E17" s="43" t="inlineStr">
        <is>
          <t>Keyboard</t>
        </is>
      </c>
      <c r="F17" s="44" t="n">
        <v>9698</v>
      </c>
      <c r="G17" s="43" t="n">
        <v>33</v>
      </c>
      <c r="H17" s="43" t="inlineStr">
        <is>
          <t>Juan Perez</t>
        </is>
      </c>
    </row>
    <row r="18" ht="15" customHeight="1" s="33">
      <c r="B18" s="43" t="inlineStr">
        <is>
          <t>2025-02-26</t>
        </is>
      </c>
      <c r="C18" s="43" t="inlineStr">
        <is>
          <t>Sur</t>
        </is>
      </c>
      <c r="D18" s="43" t="inlineStr">
        <is>
          <t>Electronics</t>
        </is>
      </c>
      <c r="E18" s="43" t="inlineStr">
        <is>
          <t>Monitor</t>
        </is>
      </c>
      <c r="F18" s="44" t="n">
        <v>25541</v>
      </c>
      <c r="G18" s="43" t="n">
        <v>164</v>
      </c>
      <c r="H18" s="43" t="inlineStr">
        <is>
          <t>Maria Torres</t>
        </is>
      </c>
    </row>
    <row r="19" ht="15" customHeight="1" s="33">
      <c r="B19" s="43" t="inlineStr">
        <is>
          <t>2025-02-04</t>
        </is>
      </c>
      <c r="C19" s="43" t="inlineStr">
        <is>
          <t>Sur</t>
        </is>
      </c>
      <c r="D19" s="43" t="inlineStr">
        <is>
          <t>Accessories</t>
        </is>
      </c>
      <c r="E19" s="43" t="inlineStr">
        <is>
          <t>Mouse</t>
        </is>
      </c>
      <c r="F19" s="44" t="n">
        <v>50823</v>
      </c>
      <c r="G19" s="43" t="n">
        <v>127</v>
      </c>
      <c r="H19" s="43" t="inlineStr">
        <is>
          <t>Laura Gomez</t>
        </is>
      </c>
    </row>
    <row r="20" ht="15" customHeight="1" s="33">
      <c r="B20" s="43" t="inlineStr">
        <is>
          <t>2025-02-27</t>
        </is>
      </c>
      <c r="C20" s="43" t="inlineStr">
        <is>
          <t>Este</t>
        </is>
      </c>
      <c r="D20" s="43" t="inlineStr">
        <is>
          <t>Electronics</t>
        </is>
      </c>
      <c r="E20" s="43" t="inlineStr">
        <is>
          <t>Monitor</t>
        </is>
      </c>
      <c r="F20" s="44" t="n">
        <v>8164</v>
      </c>
      <c r="G20" s="43" t="n">
        <v>151</v>
      </c>
      <c r="H20" s="43" t="inlineStr">
        <is>
          <t>Maria Torres</t>
        </is>
      </c>
    </row>
    <row r="21" ht="15" customHeight="1" s="33">
      <c r="B21" s="43" t="inlineStr">
        <is>
          <t>2025-02-07</t>
        </is>
      </c>
      <c r="C21" s="43" t="inlineStr">
        <is>
          <t>Este</t>
        </is>
      </c>
      <c r="D21" s="43" t="inlineStr">
        <is>
          <t>Accessories</t>
        </is>
      </c>
      <c r="E21" s="43" t="inlineStr">
        <is>
          <t>Cable</t>
        </is>
      </c>
      <c r="F21" s="44" t="n">
        <v>43535</v>
      </c>
      <c r="G21" s="43" t="n">
        <v>102</v>
      </c>
      <c r="H21" s="43" t="inlineStr">
        <is>
          <t>Laura Gomez</t>
        </is>
      </c>
    </row>
    <row r="22" ht="15" customHeight="1" s="33">
      <c r="B22" s="43" t="inlineStr">
        <is>
          <t>2025-02-08</t>
        </is>
      </c>
      <c r="C22" s="43" t="inlineStr">
        <is>
          <t>Oeste</t>
        </is>
      </c>
      <c r="D22" s="43" t="inlineStr">
        <is>
          <t>Electronics</t>
        </is>
      </c>
      <c r="E22" s="43" t="inlineStr">
        <is>
          <t>Webcam</t>
        </is>
      </c>
      <c r="F22" s="44" t="n">
        <v>7558</v>
      </c>
      <c r="G22" s="43" t="n">
        <v>21</v>
      </c>
      <c r="H22" s="43" t="inlineStr">
        <is>
          <t>Pedro Diaz</t>
        </is>
      </c>
    </row>
    <row r="23" ht="15" customHeight="1" s="33">
      <c r="B23" s="43" t="inlineStr">
        <is>
          <t>2025-02-13</t>
        </is>
      </c>
      <c r="C23" s="43" t="inlineStr">
        <is>
          <t>Oeste</t>
        </is>
      </c>
      <c r="D23" s="43" t="inlineStr">
        <is>
          <t>Accessories</t>
        </is>
      </c>
      <c r="E23" s="43" t="inlineStr">
        <is>
          <t>Keyboard</t>
        </is>
      </c>
      <c r="F23" s="44" t="n">
        <v>8229</v>
      </c>
      <c r="G23" s="43" t="n">
        <v>69</v>
      </c>
      <c r="H23" s="43" t="inlineStr">
        <is>
          <t>Ana Lopez</t>
        </is>
      </c>
    </row>
    <row r="24" ht="15" customHeight="1" s="33">
      <c r="B24" s="43" t="inlineStr">
        <is>
          <t>2025-03-06</t>
        </is>
      </c>
      <c r="C24" s="43" t="inlineStr">
        <is>
          <t>Norte</t>
        </is>
      </c>
      <c r="D24" s="43" t="inlineStr">
        <is>
          <t>Electronics</t>
        </is>
      </c>
      <c r="E24" s="43" t="inlineStr">
        <is>
          <t>Monitor</t>
        </is>
      </c>
      <c r="F24" s="44" t="n">
        <v>32714</v>
      </c>
      <c r="G24" s="43" t="n">
        <v>172</v>
      </c>
      <c r="H24" s="43" t="inlineStr">
        <is>
          <t>Maria Torres</t>
        </is>
      </c>
    </row>
    <row r="25" ht="15" customHeight="1" s="33">
      <c r="B25" s="43" t="inlineStr">
        <is>
          <t>2025-03-09</t>
        </is>
      </c>
      <c r="C25" s="43" t="inlineStr">
        <is>
          <t>Norte</t>
        </is>
      </c>
      <c r="D25" s="43" t="inlineStr">
        <is>
          <t>Accessories</t>
        </is>
      </c>
      <c r="E25" s="43" t="inlineStr">
        <is>
          <t>Keyboard</t>
        </is>
      </c>
      <c r="F25" s="44" t="n">
        <v>26283</v>
      </c>
      <c r="G25" s="43" t="n">
        <v>63</v>
      </c>
      <c r="H25" s="43" t="inlineStr">
        <is>
          <t>Pedro Diaz</t>
        </is>
      </c>
    </row>
    <row r="26" ht="15" customHeight="1" s="33">
      <c r="B26" s="43" t="inlineStr">
        <is>
          <t>2025-03-20</t>
        </is>
      </c>
      <c r="C26" s="43" t="inlineStr">
        <is>
          <t>Sur</t>
        </is>
      </c>
      <c r="D26" s="43" t="inlineStr">
        <is>
          <t>Electronics</t>
        </is>
      </c>
      <c r="E26" s="43" t="inlineStr">
        <is>
          <t>Webcam</t>
        </is>
      </c>
      <c r="F26" s="44" t="n">
        <v>47796</v>
      </c>
      <c r="G26" s="43" t="n">
        <v>175</v>
      </c>
      <c r="H26" s="43" t="inlineStr">
        <is>
          <t>Ana Lopez</t>
        </is>
      </c>
    </row>
    <row r="27" ht="15" customHeight="1" s="33">
      <c r="B27" s="43" t="inlineStr">
        <is>
          <t>2025-03-08</t>
        </is>
      </c>
      <c r="C27" s="43" t="inlineStr">
        <is>
          <t>Sur</t>
        </is>
      </c>
      <c r="D27" s="43" t="inlineStr">
        <is>
          <t>Accessories</t>
        </is>
      </c>
      <c r="E27" s="43" t="inlineStr">
        <is>
          <t>Cable</t>
        </is>
      </c>
      <c r="F27" s="44" t="n">
        <v>14215</v>
      </c>
      <c r="G27" s="43" t="n">
        <v>146</v>
      </c>
      <c r="H27" s="43" t="inlineStr">
        <is>
          <t>Pedro Diaz</t>
        </is>
      </c>
    </row>
    <row r="28" ht="15" customHeight="1" s="33">
      <c r="B28" s="43" t="inlineStr">
        <is>
          <t>2025-03-21</t>
        </is>
      </c>
      <c r="C28" s="43" t="inlineStr">
        <is>
          <t>Este</t>
        </is>
      </c>
      <c r="D28" s="43" t="inlineStr">
        <is>
          <t>Electronics</t>
        </is>
      </c>
      <c r="E28" s="43" t="inlineStr">
        <is>
          <t>Laptop</t>
        </is>
      </c>
      <c r="F28" s="44" t="n">
        <v>33294</v>
      </c>
      <c r="G28" s="43" t="n">
        <v>107</v>
      </c>
      <c r="H28" s="43" t="inlineStr">
        <is>
          <t>Maria Torres</t>
        </is>
      </c>
    </row>
    <row r="29" ht="15" customHeight="1" s="33">
      <c r="B29" s="43" t="inlineStr">
        <is>
          <t>2025-03-11</t>
        </is>
      </c>
      <c r="C29" s="43" t="inlineStr">
        <is>
          <t>Este</t>
        </is>
      </c>
      <c r="D29" s="43" t="inlineStr">
        <is>
          <t>Accessories</t>
        </is>
      </c>
      <c r="E29" s="43" t="inlineStr">
        <is>
          <t>Cable</t>
        </is>
      </c>
      <c r="F29" s="44" t="n">
        <v>39500</v>
      </c>
      <c r="G29" s="43" t="n">
        <v>66</v>
      </c>
      <c r="H29" s="43" t="inlineStr">
        <is>
          <t>Pedro Diaz</t>
        </is>
      </c>
    </row>
    <row r="30" ht="15" customHeight="1" s="33">
      <c r="B30" s="43" t="inlineStr">
        <is>
          <t>2025-03-13</t>
        </is>
      </c>
      <c r="C30" s="43" t="inlineStr">
        <is>
          <t>Oeste</t>
        </is>
      </c>
      <c r="D30" s="43" t="inlineStr">
        <is>
          <t>Electronics</t>
        </is>
      </c>
      <c r="E30" s="43" t="inlineStr">
        <is>
          <t>Laptop</t>
        </is>
      </c>
      <c r="F30" s="44" t="n">
        <v>18010</v>
      </c>
      <c r="G30" s="43" t="n">
        <v>18</v>
      </c>
      <c r="H30" s="43" t="inlineStr">
        <is>
          <t>Maria Torres</t>
        </is>
      </c>
    </row>
    <row r="31" ht="15" customHeight="1" s="33">
      <c r="B31" s="43" t="inlineStr">
        <is>
          <t>2025-03-23</t>
        </is>
      </c>
      <c r="C31" s="43" t="inlineStr">
        <is>
          <t>Oeste</t>
        </is>
      </c>
      <c r="D31" s="43" t="inlineStr">
        <is>
          <t>Accessories</t>
        </is>
      </c>
      <c r="E31" s="43" t="inlineStr">
        <is>
          <t>Keyboard</t>
        </is>
      </c>
      <c r="F31" s="44" t="n">
        <v>7337</v>
      </c>
      <c r="G31" s="43" t="n">
        <v>64</v>
      </c>
      <c r="H31" s="43" t="inlineStr">
        <is>
          <t>Laura Gomez</t>
        </is>
      </c>
    </row>
    <row r="32" ht="15" customHeight="1" s="33">
      <c r="B32" s="43" t="inlineStr">
        <is>
          <t>2025-04-13</t>
        </is>
      </c>
      <c r="C32" s="43" t="inlineStr">
        <is>
          <t>Norte</t>
        </is>
      </c>
      <c r="D32" s="43" t="inlineStr">
        <is>
          <t>Electronics</t>
        </is>
      </c>
      <c r="E32" s="43" t="inlineStr">
        <is>
          <t>Monitor</t>
        </is>
      </c>
      <c r="F32" s="44" t="n">
        <v>16934</v>
      </c>
      <c r="G32" s="43" t="n">
        <v>177</v>
      </c>
      <c r="H32" s="43" t="inlineStr">
        <is>
          <t>Juan Perez</t>
        </is>
      </c>
    </row>
    <row r="33" ht="15" customHeight="1" s="33">
      <c r="B33" s="43" t="inlineStr">
        <is>
          <t>2025-04-05</t>
        </is>
      </c>
      <c r="C33" s="43" t="inlineStr">
        <is>
          <t>Norte</t>
        </is>
      </c>
      <c r="D33" s="43" t="inlineStr">
        <is>
          <t>Accessories</t>
        </is>
      </c>
      <c r="E33" s="43" t="inlineStr">
        <is>
          <t>Cable</t>
        </is>
      </c>
      <c r="F33" s="44" t="n">
        <v>33071</v>
      </c>
      <c r="G33" s="43" t="n">
        <v>46</v>
      </c>
      <c r="H33" s="43" t="inlineStr">
        <is>
          <t>Maria Torres</t>
        </is>
      </c>
    </row>
    <row r="34" ht="15" customHeight="1" s="33">
      <c r="B34" s="43" t="inlineStr">
        <is>
          <t>2025-04-09</t>
        </is>
      </c>
      <c r="C34" s="43" t="inlineStr">
        <is>
          <t>Sur</t>
        </is>
      </c>
      <c r="D34" s="43" t="inlineStr">
        <is>
          <t>Electronics</t>
        </is>
      </c>
      <c r="E34" s="43" t="inlineStr">
        <is>
          <t>Laptop</t>
        </is>
      </c>
      <c r="F34" s="44" t="n">
        <v>51823</v>
      </c>
      <c r="G34" s="43" t="n">
        <v>153</v>
      </c>
      <c r="H34" s="43" t="inlineStr">
        <is>
          <t>Laura Gomez</t>
        </is>
      </c>
    </row>
    <row r="35" ht="15" customHeight="1" s="33">
      <c r="B35" s="43" t="inlineStr">
        <is>
          <t>2025-04-13</t>
        </is>
      </c>
      <c r="C35" s="43" t="inlineStr">
        <is>
          <t>Sur</t>
        </is>
      </c>
      <c r="D35" s="43" t="inlineStr">
        <is>
          <t>Accessories</t>
        </is>
      </c>
      <c r="E35" s="43" t="inlineStr">
        <is>
          <t>Cable</t>
        </is>
      </c>
      <c r="F35" s="44" t="n">
        <v>41311</v>
      </c>
      <c r="G35" s="43" t="n">
        <v>119</v>
      </c>
      <c r="H35" s="43" t="inlineStr">
        <is>
          <t>Laura Gomez</t>
        </is>
      </c>
    </row>
    <row r="36" ht="15" customHeight="1" s="33">
      <c r="B36" s="43" t="inlineStr">
        <is>
          <t>2025-04-16</t>
        </is>
      </c>
      <c r="C36" s="43" t="inlineStr">
        <is>
          <t>Este</t>
        </is>
      </c>
      <c r="D36" s="43" t="inlineStr">
        <is>
          <t>Electronics</t>
        </is>
      </c>
      <c r="E36" s="43" t="inlineStr">
        <is>
          <t>Monitor</t>
        </is>
      </c>
      <c r="F36" s="44" t="n">
        <v>17373</v>
      </c>
      <c r="G36" s="43" t="n">
        <v>45</v>
      </c>
      <c r="H36" s="43" t="inlineStr">
        <is>
          <t>Laura Gomez</t>
        </is>
      </c>
    </row>
    <row r="37" ht="15" customHeight="1" s="33">
      <c r="B37" s="43" t="inlineStr">
        <is>
          <t>2025-04-05</t>
        </is>
      </c>
      <c r="C37" s="43" t="inlineStr">
        <is>
          <t>Este</t>
        </is>
      </c>
      <c r="D37" s="43" t="inlineStr">
        <is>
          <t>Accessories</t>
        </is>
      </c>
      <c r="E37" s="43" t="inlineStr">
        <is>
          <t>Mouse</t>
        </is>
      </c>
      <c r="F37" s="44" t="n">
        <v>52530</v>
      </c>
      <c r="G37" s="43" t="n">
        <v>22</v>
      </c>
      <c r="H37" s="43" t="inlineStr">
        <is>
          <t>Ana Lopez</t>
        </is>
      </c>
    </row>
    <row r="38" ht="15" customHeight="1" s="33">
      <c r="B38" s="43" t="inlineStr">
        <is>
          <t>2025-04-20</t>
        </is>
      </c>
      <c r="C38" s="43" t="inlineStr">
        <is>
          <t>Oeste</t>
        </is>
      </c>
      <c r="D38" s="43" t="inlineStr">
        <is>
          <t>Electronics</t>
        </is>
      </c>
      <c r="E38" s="43" t="inlineStr">
        <is>
          <t>Webcam</t>
        </is>
      </c>
      <c r="F38" s="44" t="n">
        <v>13484</v>
      </c>
      <c r="G38" s="43" t="n">
        <v>184</v>
      </c>
      <c r="H38" s="43" t="inlineStr">
        <is>
          <t>Juan Perez</t>
        </is>
      </c>
    </row>
    <row r="39" ht="15" customHeight="1" s="33">
      <c r="B39" s="43" t="inlineStr">
        <is>
          <t>2025-04-15</t>
        </is>
      </c>
      <c r="C39" s="43" t="inlineStr">
        <is>
          <t>Oeste</t>
        </is>
      </c>
      <c r="D39" s="43" t="inlineStr">
        <is>
          <t>Accessories</t>
        </is>
      </c>
      <c r="E39" s="43" t="inlineStr">
        <is>
          <t>Mouse</t>
        </is>
      </c>
      <c r="F39" s="44" t="n">
        <v>28216</v>
      </c>
      <c r="G39" s="43" t="n">
        <v>107</v>
      </c>
      <c r="H39" s="43" t="inlineStr">
        <is>
          <t>Laura Gomez</t>
        </is>
      </c>
    </row>
    <row r="40" ht="15" customHeight="1" s="33">
      <c r="B40" s="43" t="inlineStr">
        <is>
          <t>2025-05-22</t>
        </is>
      </c>
      <c r="C40" s="43" t="inlineStr">
        <is>
          <t>Norte</t>
        </is>
      </c>
      <c r="D40" s="43" t="inlineStr">
        <is>
          <t>Electronics</t>
        </is>
      </c>
      <c r="E40" s="43" t="inlineStr">
        <is>
          <t>Webcam</t>
        </is>
      </c>
      <c r="F40" s="44" t="n">
        <v>19476</v>
      </c>
      <c r="G40" s="43" t="n">
        <v>151</v>
      </c>
      <c r="H40" s="43" t="inlineStr">
        <is>
          <t>Ana Lopez</t>
        </is>
      </c>
    </row>
    <row r="41" ht="15" customHeight="1" s="33">
      <c r="B41" s="43" t="inlineStr">
        <is>
          <t>2025-05-25</t>
        </is>
      </c>
      <c r="C41" s="43" t="inlineStr">
        <is>
          <t>Norte</t>
        </is>
      </c>
      <c r="D41" s="43" t="inlineStr">
        <is>
          <t>Accessories</t>
        </is>
      </c>
      <c r="E41" s="43" t="inlineStr">
        <is>
          <t>Cable</t>
        </is>
      </c>
      <c r="F41" s="44" t="n">
        <v>10507</v>
      </c>
      <c r="G41" s="43" t="n">
        <v>184</v>
      </c>
      <c r="H41" s="43" t="inlineStr">
        <is>
          <t>Laura Gomez</t>
        </is>
      </c>
    </row>
    <row r="42" ht="15" customHeight="1" s="33">
      <c r="B42" s="43" t="inlineStr">
        <is>
          <t>2025-05-04</t>
        </is>
      </c>
      <c r="C42" s="43" t="inlineStr">
        <is>
          <t>Sur</t>
        </is>
      </c>
      <c r="D42" s="43" t="inlineStr">
        <is>
          <t>Electronics</t>
        </is>
      </c>
      <c r="E42" s="43" t="inlineStr">
        <is>
          <t>Monitor</t>
        </is>
      </c>
      <c r="F42" s="44" t="n">
        <v>53370</v>
      </c>
      <c r="G42" s="43" t="n">
        <v>174</v>
      </c>
      <c r="H42" s="43" t="inlineStr">
        <is>
          <t>Maria Torres</t>
        </is>
      </c>
    </row>
    <row r="43" ht="15" customHeight="1" s="33">
      <c r="B43" s="43" t="inlineStr">
        <is>
          <t>2025-05-01</t>
        </is>
      </c>
      <c r="C43" s="43" t="inlineStr">
        <is>
          <t>Sur</t>
        </is>
      </c>
      <c r="D43" s="43" t="inlineStr">
        <is>
          <t>Accessories</t>
        </is>
      </c>
      <c r="E43" s="43" t="inlineStr">
        <is>
          <t>Keyboard</t>
        </is>
      </c>
      <c r="F43" s="44" t="n">
        <v>31492</v>
      </c>
      <c r="G43" s="43" t="n">
        <v>50</v>
      </c>
      <c r="H43" s="43" t="inlineStr">
        <is>
          <t>Juan Perez</t>
        </is>
      </c>
    </row>
    <row r="44" ht="15" customHeight="1" s="33">
      <c r="B44" s="43" t="inlineStr">
        <is>
          <t>2025-05-25</t>
        </is>
      </c>
      <c r="C44" s="43" t="inlineStr">
        <is>
          <t>Este</t>
        </is>
      </c>
      <c r="D44" s="43" t="inlineStr">
        <is>
          <t>Electronics</t>
        </is>
      </c>
      <c r="E44" s="43" t="inlineStr">
        <is>
          <t>Webcam</t>
        </is>
      </c>
      <c r="F44" s="44" t="n">
        <v>50164</v>
      </c>
      <c r="G44" s="43" t="n">
        <v>77</v>
      </c>
      <c r="H44" s="43" t="inlineStr">
        <is>
          <t>Laura Gomez</t>
        </is>
      </c>
    </row>
    <row r="45" ht="15" customHeight="1" s="33">
      <c r="B45" s="43" t="inlineStr">
        <is>
          <t>2025-05-10</t>
        </is>
      </c>
      <c r="C45" s="43" t="inlineStr">
        <is>
          <t>Este</t>
        </is>
      </c>
      <c r="D45" s="43" t="inlineStr">
        <is>
          <t>Accessories</t>
        </is>
      </c>
      <c r="E45" s="43" t="inlineStr">
        <is>
          <t>Mouse</t>
        </is>
      </c>
      <c r="F45" s="44" t="n">
        <v>36271</v>
      </c>
      <c r="G45" s="43" t="n">
        <v>37</v>
      </c>
      <c r="H45" s="43" t="inlineStr">
        <is>
          <t>Pedro Diaz</t>
        </is>
      </c>
    </row>
    <row r="46" ht="15" customHeight="1" s="33">
      <c r="B46" s="43" t="inlineStr">
        <is>
          <t>2025-05-05</t>
        </is>
      </c>
      <c r="C46" s="43" t="inlineStr">
        <is>
          <t>Oeste</t>
        </is>
      </c>
      <c r="D46" s="43" t="inlineStr">
        <is>
          <t>Electronics</t>
        </is>
      </c>
      <c r="E46" s="43" t="inlineStr">
        <is>
          <t>Webcam</t>
        </is>
      </c>
      <c r="F46" s="44" t="n">
        <v>36270</v>
      </c>
      <c r="G46" s="43" t="n">
        <v>165</v>
      </c>
      <c r="H46" s="43" t="inlineStr">
        <is>
          <t>Carlos Ruiz</t>
        </is>
      </c>
    </row>
    <row r="47" ht="15" customHeight="1" s="33">
      <c r="B47" s="43" t="inlineStr">
        <is>
          <t>2025-05-25</t>
        </is>
      </c>
      <c r="C47" s="43" t="inlineStr">
        <is>
          <t>Oeste</t>
        </is>
      </c>
      <c r="D47" s="43" t="inlineStr">
        <is>
          <t>Accessories</t>
        </is>
      </c>
      <c r="E47" s="43" t="inlineStr">
        <is>
          <t>Keyboard</t>
        </is>
      </c>
      <c r="F47" s="44" t="n">
        <v>52971</v>
      </c>
      <c r="G47" s="43" t="n">
        <v>51</v>
      </c>
      <c r="H47" s="43" t="inlineStr">
        <is>
          <t>Laura Gomez</t>
        </is>
      </c>
    </row>
    <row r="48" ht="15" customHeight="1" s="33">
      <c r="B48" s="43" t="inlineStr">
        <is>
          <t>2025-06-16</t>
        </is>
      </c>
      <c r="C48" s="43" t="inlineStr">
        <is>
          <t>Norte</t>
        </is>
      </c>
      <c r="D48" s="43" t="inlineStr">
        <is>
          <t>Electronics</t>
        </is>
      </c>
      <c r="E48" s="43" t="inlineStr">
        <is>
          <t>Webcam</t>
        </is>
      </c>
      <c r="F48" s="44" t="n">
        <v>3037</v>
      </c>
      <c r="G48" s="43" t="n">
        <v>163</v>
      </c>
      <c r="H48" s="43" t="inlineStr">
        <is>
          <t>Maria Torres</t>
        </is>
      </c>
    </row>
    <row r="49" ht="15" customHeight="1" s="33">
      <c r="B49" s="43" t="inlineStr">
        <is>
          <t>2025-06-08</t>
        </is>
      </c>
      <c r="C49" s="43" t="inlineStr">
        <is>
          <t>Norte</t>
        </is>
      </c>
      <c r="D49" s="43" t="inlineStr">
        <is>
          <t>Accessories</t>
        </is>
      </c>
      <c r="E49" s="43" t="inlineStr">
        <is>
          <t>Mouse</t>
        </is>
      </c>
      <c r="F49" s="44" t="n">
        <v>10331</v>
      </c>
      <c r="G49" s="43" t="n">
        <v>102</v>
      </c>
      <c r="H49" s="43" t="inlineStr">
        <is>
          <t>Maria Torres</t>
        </is>
      </c>
    </row>
    <row r="50" ht="15" customHeight="1" s="33">
      <c r="B50" s="43" t="inlineStr">
        <is>
          <t>2025-06-03</t>
        </is>
      </c>
      <c r="C50" s="43" t="inlineStr">
        <is>
          <t>Sur</t>
        </is>
      </c>
      <c r="D50" s="43" t="inlineStr">
        <is>
          <t>Electronics</t>
        </is>
      </c>
      <c r="E50" s="43" t="inlineStr">
        <is>
          <t>Laptop</t>
        </is>
      </c>
      <c r="F50" s="44" t="n">
        <v>18785</v>
      </c>
      <c r="G50" s="43" t="n">
        <v>155</v>
      </c>
      <c r="H50" s="43" t="inlineStr">
        <is>
          <t>Ana Lopez</t>
        </is>
      </c>
    </row>
    <row r="51" ht="15" customHeight="1" s="33">
      <c r="B51" s="43" t="inlineStr">
        <is>
          <t>2025-06-25</t>
        </is>
      </c>
      <c r="C51" s="43" t="inlineStr">
        <is>
          <t>Sur</t>
        </is>
      </c>
      <c r="D51" s="43" t="inlineStr">
        <is>
          <t>Accessories</t>
        </is>
      </c>
      <c r="E51" s="43" t="inlineStr">
        <is>
          <t>Cable</t>
        </is>
      </c>
      <c r="F51" s="44" t="n">
        <v>34849</v>
      </c>
      <c r="G51" s="43" t="n">
        <v>27</v>
      </c>
      <c r="H51" s="43" t="inlineStr">
        <is>
          <t>Laura Gomez</t>
        </is>
      </c>
    </row>
    <row r="52" ht="15" customHeight="1" s="33">
      <c r="B52" s="43" t="inlineStr">
        <is>
          <t>2025-06-18</t>
        </is>
      </c>
      <c r="C52" s="43" t="inlineStr">
        <is>
          <t>Este</t>
        </is>
      </c>
      <c r="D52" s="43" t="inlineStr">
        <is>
          <t>Electronics</t>
        </is>
      </c>
      <c r="E52" s="43" t="inlineStr">
        <is>
          <t>Laptop</t>
        </is>
      </c>
      <c r="F52" s="44" t="n">
        <v>11414</v>
      </c>
      <c r="G52" s="43" t="n">
        <v>178</v>
      </c>
      <c r="H52" s="43" t="inlineStr">
        <is>
          <t>Juan Perez</t>
        </is>
      </c>
    </row>
    <row r="53" ht="15" customHeight="1" s="33">
      <c r="B53" s="43" t="inlineStr">
        <is>
          <t>2025-06-14</t>
        </is>
      </c>
      <c r="C53" s="43" t="inlineStr">
        <is>
          <t>Este</t>
        </is>
      </c>
      <c r="D53" s="43" t="inlineStr">
        <is>
          <t>Accessories</t>
        </is>
      </c>
      <c r="E53" s="43" t="inlineStr">
        <is>
          <t>Mouse</t>
        </is>
      </c>
      <c r="F53" s="44" t="n">
        <v>20370</v>
      </c>
      <c r="G53" s="43" t="n">
        <v>145</v>
      </c>
      <c r="H53" s="43" t="inlineStr">
        <is>
          <t>Laura Gomez</t>
        </is>
      </c>
    </row>
    <row r="54" ht="15" customHeight="1" s="33">
      <c r="B54" s="43" t="inlineStr">
        <is>
          <t>2025-06-07</t>
        </is>
      </c>
      <c r="C54" s="43" t="inlineStr">
        <is>
          <t>Oeste</t>
        </is>
      </c>
      <c r="D54" s="43" t="inlineStr">
        <is>
          <t>Electronics</t>
        </is>
      </c>
      <c r="E54" s="43" t="inlineStr">
        <is>
          <t>Laptop</t>
        </is>
      </c>
      <c r="F54" s="44" t="n">
        <v>38343</v>
      </c>
      <c r="G54" s="43" t="n">
        <v>196</v>
      </c>
      <c r="H54" s="43" t="inlineStr">
        <is>
          <t>Pedro Diaz</t>
        </is>
      </c>
    </row>
    <row r="55" ht="15" customHeight="1" s="33">
      <c r="B55" s="43" t="inlineStr">
        <is>
          <t>2025-06-21</t>
        </is>
      </c>
      <c r="C55" s="43" t="inlineStr">
        <is>
          <t>Oeste</t>
        </is>
      </c>
      <c r="D55" s="43" t="inlineStr">
        <is>
          <t>Accessories</t>
        </is>
      </c>
      <c r="E55" s="43" t="inlineStr">
        <is>
          <t>Cable</t>
        </is>
      </c>
      <c r="F55" s="44" t="n">
        <v>23428</v>
      </c>
      <c r="G55" s="43" t="n">
        <v>112</v>
      </c>
      <c r="H55" s="43" t="inlineStr">
        <is>
          <t>Pedro Diaz</t>
        </is>
      </c>
    </row>
  </sheetData>
  <mergeCells count="3">
    <mergeCell ref="B5:I5"/>
    <mergeCell ref="A1:J2"/>
    <mergeCell ref="A3:J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7B1D32"/>
    <outlinePr summaryBelow="1" summaryRight="1"/>
    <pageSetUpPr fitToPage="0"/>
  </sheetPr>
  <dimension ref="A1:J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16" customWidth="1" style="32" min="2" max="10"/>
  </cols>
  <sheetData>
    <row r="1" ht="27.75" customHeight="1" s="33">
      <c r="A1" s="34" t="inlineStr">
        <is>
          <t>Datos para Charts avanzados</t>
        </is>
      </c>
    </row>
    <row r="2" ht="13.5" customHeight="1" s="33"/>
    <row r="3" ht="21.75" customHeight="1" s="33">
      <c r="A3" s="35" t="inlineStr">
        <is>
          <t xml:space="preserve">  Mod 9 — Combo Charts, Secondary Axis, Sparklines y Trendlines</t>
        </is>
      </c>
    </row>
    <row r="5" ht="16.15" customHeight="1" s="33">
      <c r="B5" s="38" t="inlineStr">
        <is>
          <t>Datos para Combo Chart (barras + linea con Secondary Axis)</t>
        </is>
      </c>
    </row>
    <row r="6" ht="15" customHeight="1" s="33">
      <c r="B6" s="42" t="inlineStr">
        <is>
          <t>Month</t>
        </is>
      </c>
      <c r="C6" s="42" t="inlineStr">
        <is>
          <t>Revenue</t>
        </is>
      </c>
      <c r="D6" s="42" t="inlineStr">
        <is>
          <t>Units Sold</t>
        </is>
      </c>
      <c r="E6" s="42" t="inlineStr">
        <is>
          <t>Avg Price</t>
        </is>
      </c>
    </row>
    <row r="7" ht="15" customHeight="1" s="33">
      <c r="B7" s="43" t="inlineStr">
        <is>
          <t>Jan</t>
        </is>
      </c>
      <c r="C7" s="44" t="n">
        <v>120000</v>
      </c>
      <c r="D7" s="43" t="n">
        <v>450</v>
      </c>
      <c r="E7" s="44" t="n">
        <v>267</v>
      </c>
    </row>
    <row r="8" ht="15" customHeight="1" s="33">
      <c r="B8" s="43" t="inlineStr">
        <is>
          <t>Feb</t>
        </is>
      </c>
      <c r="C8" s="44" t="n">
        <v>135000</v>
      </c>
      <c r="D8" s="43" t="n">
        <v>520</v>
      </c>
      <c r="E8" s="44" t="n">
        <v>260</v>
      </c>
    </row>
    <row r="9" ht="15" customHeight="1" s="33">
      <c r="B9" s="43" t="inlineStr">
        <is>
          <t>Mar</t>
        </is>
      </c>
      <c r="C9" s="44" t="n">
        <v>128000</v>
      </c>
      <c r="D9" s="43" t="n">
        <v>480</v>
      </c>
      <c r="E9" s="44" t="n">
        <v>267</v>
      </c>
    </row>
    <row r="10" ht="15" customHeight="1" s="33">
      <c r="B10" s="43" t="inlineStr">
        <is>
          <t>Apr</t>
        </is>
      </c>
      <c r="C10" s="44" t="n">
        <v>155000</v>
      </c>
      <c r="D10" s="43" t="n">
        <v>580</v>
      </c>
      <c r="E10" s="44" t="n">
        <v>267</v>
      </c>
    </row>
    <row r="11" ht="15" customHeight="1" s="33">
      <c r="B11" s="43" t="inlineStr">
        <is>
          <t>May</t>
        </is>
      </c>
      <c r="C11" s="44" t="n">
        <v>148000</v>
      </c>
      <c r="D11" s="43" t="n">
        <v>540</v>
      </c>
      <c r="E11" s="44" t="n">
        <v>274</v>
      </c>
    </row>
    <row r="12" ht="15" customHeight="1" s="33">
      <c r="B12" s="43" t="inlineStr">
        <is>
          <t>Jun</t>
        </is>
      </c>
      <c r="C12" s="44" t="n">
        <v>172000</v>
      </c>
      <c r="D12" s="43" t="n">
        <v>620</v>
      </c>
      <c r="E12" s="44" t="n">
        <v>277</v>
      </c>
    </row>
    <row r="14" ht="15" customHeight="1" s="33">
      <c r="B14" s="62" t="inlineStr">
        <is>
          <t>1. Selecciona B5:D11 y crea un Combo Chart: Revenue como Column, Units como Line</t>
        </is>
      </c>
    </row>
    <row r="15" ht="15" customHeight="1" s="33">
      <c r="B15" s="62" t="inlineStr">
        <is>
          <t>2. Pon Units Sold en Secondary Axis (clic derecho &gt; Format Data Series &gt; Secondary Axis)</t>
        </is>
      </c>
    </row>
    <row r="16" ht="15" customHeight="1" s="33">
      <c r="B16" s="62" t="inlineStr">
        <is>
          <t>3. Agrega titulos de eje: izquierdo = Revenue (USD), derecho = Units</t>
        </is>
      </c>
    </row>
    <row r="17" ht="15" customHeight="1" s="33">
      <c r="B17" s="62" t="inlineStr">
        <is>
          <t>4. Agrega Trendline a Revenue (Linear) con Display Equation</t>
        </is>
      </c>
    </row>
    <row r="20" ht="16.15" customHeight="1" s="33">
      <c r="B20" s="38" t="inlineStr">
        <is>
          <t>Datos para Sparklines (tendencia por vendedor)</t>
        </is>
      </c>
    </row>
    <row r="21" ht="15" customHeight="1" s="33">
      <c r="B21" s="42" t="inlineStr">
        <is>
          <t>Salesperson</t>
        </is>
      </c>
      <c r="C21" s="42" t="inlineStr">
        <is>
          <t>Jan</t>
        </is>
      </c>
      <c r="D21" s="42" t="inlineStr">
        <is>
          <t>Feb</t>
        </is>
      </c>
      <c r="E21" s="42" t="inlineStr">
        <is>
          <t>Mar</t>
        </is>
      </c>
      <c r="F21" s="42" t="inlineStr">
        <is>
          <t>Apr</t>
        </is>
      </c>
      <c r="G21" s="42" t="inlineStr">
        <is>
          <t>May</t>
        </is>
      </c>
      <c r="H21" s="42" t="inlineStr">
        <is>
          <t>Jun</t>
        </is>
      </c>
      <c r="I21" s="42" t="inlineStr">
        <is>
          <t>Sparkline</t>
        </is>
      </c>
    </row>
    <row r="22" ht="15" customHeight="1" s="33">
      <c r="B22" s="43" t="inlineStr">
        <is>
          <t>Ana</t>
        </is>
      </c>
      <c r="C22" s="44" t="n">
        <v>15000</v>
      </c>
      <c r="D22" s="44" t="n">
        <v>18000</v>
      </c>
      <c r="E22" s="44" t="n">
        <v>16500</v>
      </c>
      <c r="F22" s="44" t="n">
        <v>21000</v>
      </c>
      <c r="G22" s="44" t="n">
        <v>19500</v>
      </c>
      <c r="H22" s="44" t="n">
        <v>24000</v>
      </c>
      <c r="I22" s="63" t="inlineStr">
        <is>
          <t>Insert &gt; Sparklines &gt; Line</t>
        </is>
      </c>
    </row>
    <row r="23" ht="15" customHeight="1" s="33">
      <c r="B23" s="43" t="inlineStr">
        <is>
          <t>Carlos</t>
        </is>
      </c>
      <c r="C23" s="44" t="n">
        <v>12000</v>
      </c>
      <c r="D23" s="44" t="n">
        <v>11000</v>
      </c>
      <c r="E23" s="44" t="n">
        <v>14000</v>
      </c>
      <c r="F23" s="44" t="n">
        <v>13500</v>
      </c>
      <c r="G23" s="44" t="n">
        <v>15000</v>
      </c>
      <c r="H23" s="44" t="n">
        <v>16000</v>
      </c>
      <c r="I23" s="63" t="inlineStr">
        <is>
          <t>Insert &gt; Sparklines &gt; Line</t>
        </is>
      </c>
    </row>
    <row r="24" ht="15" customHeight="1" s="33">
      <c r="B24" s="43" t="inlineStr">
        <is>
          <t>Maria</t>
        </is>
      </c>
      <c r="C24" s="44" t="n">
        <v>22000</v>
      </c>
      <c r="D24" s="44" t="n">
        <v>25000</v>
      </c>
      <c r="E24" s="44" t="n">
        <v>23000</v>
      </c>
      <c r="F24" s="44" t="n">
        <v>28000</v>
      </c>
      <c r="G24" s="44" t="n">
        <v>26500</v>
      </c>
      <c r="H24" s="44" t="n">
        <v>31000</v>
      </c>
      <c r="I24" s="63" t="inlineStr">
        <is>
          <t>Insert &gt; Sparklines &gt; Line</t>
        </is>
      </c>
    </row>
    <row r="25" ht="15" customHeight="1" s="33">
      <c r="B25" s="43" t="inlineStr">
        <is>
          <t>Juan</t>
        </is>
      </c>
      <c r="C25" s="44" t="n">
        <v>8000</v>
      </c>
      <c r="D25" s="44" t="n">
        <v>9500</v>
      </c>
      <c r="E25" s="44" t="n">
        <v>8800</v>
      </c>
      <c r="F25" s="44" t="n">
        <v>11000</v>
      </c>
      <c r="G25" s="44" t="n">
        <v>10500</v>
      </c>
      <c r="H25" s="44" t="n">
        <v>12000</v>
      </c>
      <c r="I25" s="63" t="inlineStr">
        <is>
          <t>Insert &gt; Sparklines &gt; Line</t>
        </is>
      </c>
    </row>
    <row r="27" ht="15" customHeight="1" s="33">
      <c r="B27" s="39" t="inlineStr">
        <is>
          <t>Para crear Sparklines: selecciona H columna, Insert &gt; Sparklines &gt; Line, Data Range = C:H de esa fila.</t>
        </is>
      </c>
    </row>
  </sheetData>
  <mergeCells count="7">
    <mergeCell ref="A1:J2"/>
    <mergeCell ref="B15:I15"/>
    <mergeCell ref="B16:I16"/>
    <mergeCell ref="A3:J3"/>
    <mergeCell ref="B14:I14"/>
    <mergeCell ref="B27:I27"/>
    <mergeCell ref="B17:I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2026-03-20T16:44:29Z</dcterms:created>
  <dcterms:modified xsi:type="dcterms:W3CDTF">2026-04-10T01:16:58Z</dcterms:modified>
  <cp:revision>0</cp:revision>
</cp:coreProperties>
</file>