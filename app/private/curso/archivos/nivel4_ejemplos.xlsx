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VBA Examples" sheetId="2" state="visible" r:id="rId4"/>
    <sheet name="DAX Reference" sheetId="3" state="visible" r:id="rId5"/>
    <sheet name="PQ Adv Guide" sheetId="4" state="visible" r:id="rId6"/>
    <sheet name="MOS Checklist" sheetId="5" state="visible" r:id="rId7"/>
    <sheet name="Multi-Table 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<sst xmlns="http://schemas.openxmlformats.org/spreadsheetml/2006/main" count="297" uniqueCount="219">
  <si>
    <t xml:space="preserve">Nivel 4 — Ejemplos</t>
  </si>
  <si>
    <t xml:space="preserve">  Workbook de referencia para Macros, VBA, Power Pivot, Power Query avanzado</t>
  </si>
  <si>
    <t xml:space="preserve">VBA Examples</t>
  </si>
  <si>
    <t xml:space="preserve">Mod 1-2: Codigo VBA de ejemplo para macros comunes</t>
  </si>
  <si>
    <t xml:space="preserve">DAX Reference</t>
  </si>
  <si>
    <t xml:space="preserve">Mod 3: Referencia de funciones DAX basicas para Power Pivot</t>
  </si>
  <si>
    <t xml:space="preserve">PQ Adv Guide</t>
  </si>
  <si>
    <t xml:space="preserve">Mod 5: Guia de Merge, Append, From Folder, Custom Columns</t>
  </si>
  <si>
    <t xml:space="preserve">MOS Checklist</t>
  </si>
  <si>
    <t xml:space="preserve">Mod 6: Checklist de temas para certificacion MOS</t>
  </si>
  <si>
    <t xml:space="preserve">Multi-Table Data</t>
  </si>
  <si>
    <t xml:space="preserve">Datos multi-tabla para practicar Power Pivot relationships</t>
  </si>
  <si>
    <t xml:space="preserve">Ejemplos de codigo VBA</t>
  </si>
  <si>
    <t xml:space="preserve">  Mod 1-2: Macros comunes con explicacion linea por linea</t>
  </si>
  <si>
    <t xml:space="preserve">Macro 1: Formatear tabla automaticamente</t>
  </si>
  <si>
    <t xml:space="preserve">Sub FormatTable()</t>
  </si>
  <si>
    <t xml:space="preserve">    Dim lastRow As Long</t>
  </si>
  <si>
    <t xml:space="preserve">    lastRow = Cells(Rows.Count, 1).End(xlUp).Row</t>
  </si>
  <si>
    <t xml:space="preserve">    ' Negrita en encabezados</t>
  </si>
  <si>
    <t xml:space="preserve">    Range("A1:E1").Font.Bold = True</t>
  </si>
  <si>
    <t xml:space="preserve">    ' Bordes en todo el rango</t>
  </si>
  <si>
    <t xml:space="preserve">    Range("A1:E" &amp; lastRow).Borders.LineStyle = xlContinuous</t>
  </si>
  <si>
    <t xml:space="preserve">    ' Autoajustar columnas</t>
  </si>
  <si>
    <t xml:space="preserve">    Columns("A:E").AutoFit</t>
  </si>
  <si>
    <t xml:space="preserve">End Sub</t>
  </si>
  <si>
    <t xml:space="preserve">Macro 2: Recorrer filas y clasificar</t>
  </si>
  <si>
    <t xml:space="preserve">Sub ClasificarVentas()</t>
  </si>
  <si>
    <t xml:space="preserve">    Dim i As Long</t>
  </si>
  <si>
    <t xml:space="preserve">    lastRow = Cells(Rows.Count, 2).End(xlUp).Row</t>
  </si>
  <si>
    <t xml:space="preserve">    For i = 2 To lastRow</t>
  </si>
  <si>
    <t xml:space="preserve">        If Cells(i, 2).Value &gt; 10000 Then</t>
  </si>
  <si>
    <t xml:space="preserve">            Cells(i, 3).Value = "High"</t>
  </si>
  <si>
    <t xml:space="preserve">        ElseIf Cells(i, 2).Value &gt; 5000 Then</t>
  </si>
  <si>
    <t xml:space="preserve">            Cells(i, 3).Value = "Medium"</t>
  </si>
  <si>
    <t xml:space="preserve">        Else</t>
  </si>
  <si>
    <t xml:space="preserve">            Cells(i, 3).Value = "Low"</t>
  </si>
  <si>
    <t xml:space="preserve">        End If</t>
  </si>
  <si>
    <t xml:space="preserve">    Next i</t>
  </si>
  <si>
    <t xml:space="preserve">Macro 3: Pedir dato al usuario y filtrar</t>
  </si>
  <si>
    <t xml:space="preserve">Sub FiltrarPorRegion()</t>
  </si>
  <si>
    <t xml:space="preserve">    Dim region As String</t>
  </si>
  <si>
    <t xml:space="preserve">    region = InputBox("Ingresa la region a filtrar:")</t>
  </si>
  <si>
    <t xml:space="preserve">    If region = "" Then Exit Sub</t>
  </si>
  <si>
    <t xml:space="preserve">    ActiveSheet.Range("A1").AutoFilter</t>
  </si>
  <si>
    <t xml:space="preserve">    ActiveSheet.Range("A1").AutoFilter Field:=1, Criteria1:=region</t>
  </si>
  <si>
    <t xml:space="preserve">    MsgBox "Filtrado por: " &amp; region</t>
  </si>
  <si>
    <t xml:space="preserve">Para usar: copia el codigo en el VBA Editor (Alt+F11 &gt; Insert &gt; Module) y ejecuta con F5 o desde Developer &gt; Macros.</t>
  </si>
  <si>
    <t xml:space="preserve">Referencia de funciones DAX</t>
  </si>
  <si>
    <t xml:space="preserve">  Mod 3: Las funciones DAX mas importantes para Power Pivot</t>
  </si>
  <si>
    <t xml:space="preserve">Funcion DAX</t>
  </si>
  <si>
    <t xml:space="preserve">Sintaxis</t>
  </si>
  <si>
    <t xml:space="preserve">Uso</t>
  </si>
  <si>
    <t xml:space="preserve">SUM</t>
  </si>
  <si>
    <t xml:space="preserve">Suma la columna en el contexto de filtro actual.</t>
  </si>
  <si>
    <t xml:space="preserve">CALCULATE</t>
  </si>
  <si>
    <t xml:space="preserve">Evalua expresion con filtros modificados. La mas importante.</t>
  </si>
  <si>
    <t xml:space="preserve">SUMX</t>
  </si>
  <si>
    <t xml:space="preserve">Itera fila por fila y suma el resultado de la expresion.</t>
  </si>
  <si>
    <t xml:space="preserve">COUNTROWS</t>
  </si>
  <si>
    <t xml:space="preserve">Cuenta filas de la tabla en el contexto actual.</t>
  </si>
  <si>
    <t xml:space="preserve">AVERAGE</t>
  </si>
  <si>
    <t xml:space="preserve">Promedio de la columna en contexto.</t>
  </si>
  <si>
    <t xml:space="preserve">RELATED</t>
  </si>
  <si>
    <t xml:space="preserve">Trae valor de tabla relacionada. Solo en Calculated Columns.</t>
  </si>
  <si>
    <t xml:space="preserve">DIVIDE</t>
  </si>
  <si>
    <t xml:space="preserve">Division segura: devuelve alt si denominator es 0.</t>
  </si>
  <si>
    <t xml:space="preserve">ALL</t>
  </si>
  <si>
    <t xml:space="preserve">Ignora filtros. Usado dentro de CALCULATE para totales.</t>
  </si>
  <si>
    <t xml:space="preserve">FILTER</t>
  </si>
  <si>
    <t xml:space="preserve">Devuelve tabla filtrada. Usado como filtro en CALCULATE.</t>
  </si>
  <si>
    <t xml:space="preserve">DISTINCTCOUNT</t>
  </si>
  <si>
    <t xml:space="preserve">Cuenta valores unicos en la columna.</t>
  </si>
  <si>
    <t xml:space="preserve">Ejemplo de Measure:</t>
  </si>
  <si>
    <t xml:space="preserve">Profit Margin %:</t>
  </si>
  <si>
    <t xml:space="preserve">Power Query avanzado — Guia</t>
  </si>
  <si>
    <t xml:space="preserve">  Mod 5: Merge, Append, From Folder, Custom Columns, Unpivot</t>
  </si>
  <si>
    <t xml:space="preserve">Merge Queries (JOINs)</t>
  </si>
  <si>
    <t xml:space="preserve">Acceso</t>
  </si>
  <si>
    <t xml:space="preserve">Home &gt; Merge Queries. Selecciona las dos tablas y el campo de union.</t>
  </si>
  <si>
    <t xml:space="preserve">Left Outer Join</t>
  </si>
  <si>
    <t xml:space="preserve">Todo de la tabla izquierda + coincidencias de la derecha. El mas comun.</t>
  </si>
  <si>
    <t xml:space="preserve">Inner Join</t>
  </si>
  <si>
    <t xml:space="preserve">Solo filas que coinciden en ambas tablas.</t>
  </si>
  <si>
    <t xml:space="preserve">Left Anti Join</t>
  </si>
  <si>
    <t xml:space="preserve">Filas de la izquierda SIN coincidencia. Ideal para encontrar registros huerfanos.</t>
  </si>
  <si>
    <t xml:space="preserve">Append Queries (Apilar)</t>
  </si>
  <si>
    <t xml:space="preserve">Home &gt; Append Queries. Une tablas con misma estructura verticalmente.</t>
  </si>
  <si>
    <t xml:space="preserve">2 tablas</t>
  </si>
  <si>
    <t xml:space="preserve">Append Queries &gt; Two Tables.</t>
  </si>
  <si>
    <t xml:space="preserve">3+ tablas</t>
  </si>
  <si>
    <t xml:space="preserve">Append Queries as New &gt; selecciona todas las tablas.</t>
  </si>
  <si>
    <t xml:space="preserve">From Folder</t>
  </si>
  <si>
    <t xml:space="preserve">Data &gt; Get Data &gt; From File &gt; From Folder.</t>
  </si>
  <si>
    <t xml:space="preserve">Proceso</t>
  </si>
  <si>
    <t xml:space="preserve">Selecciona carpeta &gt; Power Query lista archivos &gt; filtra por extension &gt; Combine.</t>
  </si>
  <si>
    <t xml:space="preserve">Poder</t>
  </si>
  <si>
    <t xml:space="preserve">Archivo nuevo en la carpeta? Refresh y se incluye automaticamente.</t>
  </si>
  <si>
    <t xml:space="preserve">Custom Columns (M Language)</t>
  </si>
  <si>
    <t xml:space="preserve">Add Column &gt; Custom Column.</t>
  </si>
  <si>
    <t xml:space="preserve">Calculos</t>
  </si>
  <si>
    <t xml:space="preserve">[Revenue] - [Cost] para crear Profit.</t>
  </si>
  <si>
    <t xml:space="preserve">Logica</t>
  </si>
  <si>
    <t xml:space="preserve">if [Amount] &gt; 1000 then "Alto" else "Normal".</t>
  </si>
  <si>
    <t xml:space="preserve">Funciones M</t>
  </si>
  <si>
    <t xml:space="preserve">Text.Start, Text.Contains, Date.Year, Number.Round, etc.</t>
  </si>
  <si>
    <t xml:space="preserve">Unpivot Columns</t>
  </si>
  <si>
    <t xml:space="preserve">Que hace</t>
  </si>
  <si>
    <t xml:space="preserve">Convierte columnas (Ene, Feb, Mar) en filas (Mes + Valor).</t>
  </si>
  <si>
    <t xml:space="preserve">Cuando</t>
  </si>
  <si>
    <t xml:space="preserve">Siempre que recibas datos en tabla cruzada que necesites en formato tabular.</t>
  </si>
  <si>
    <t xml:space="preserve">Como</t>
  </si>
  <si>
    <t xml:space="preserve">Selecciona columnas a unpivot &gt; Transform &gt; Unpivot Columns.</t>
  </si>
  <si>
    <t xml:space="preserve">Parametros</t>
  </si>
  <si>
    <t xml:space="preserve">Home &gt; Manage Parameters &gt; New Parameter.</t>
  </si>
  <si>
    <t xml:space="preserve">Ejemplo</t>
  </si>
  <si>
    <t xml:space="preserve">Parametro 'Year' = 2025. Las queries filtran por este valor.</t>
  </si>
  <si>
    <t xml:space="preserve">Cambias el parametro una vez, Refresh actualiza todas las queries que lo usan.</t>
  </si>
  <si>
    <t xml:space="preserve">Checklist de preparacion MOS</t>
  </si>
  <si>
    <t xml:space="preserve">  Mod 6: Verifica tu dominio de cada tema antes del examen</t>
  </si>
  <si>
    <t xml:space="preserve">Tema</t>
  </si>
  <si>
    <t xml:space="preserve">Dominio</t>
  </si>
  <si>
    <t xml:space="preserve">--- MOS ASSOCIATE ---</t>
  </si>
  <si>
    <t xml:space="preserve">Crear y navegar Workbooks y Worksheets</t>
  </si>
  <si>
    <t xml:space="preserve">Format Cells: Number, Font, Alignment, Border, Fill</t>
  </si>
  <si>
    <t xml:space="preserve">Conditional Formatting: Highlight Rules, Data Bars, Color Scales</t>
  </si>
  <si>
    <t xml:space="preserve">Sort by multiple levels y Custom Sort</t>
  </si>
  <si>
    <t xml:space="preserve">AutoFilter con Text/Number/Date Filters</t>
  </si>
  <si>
    <t xml:space="preserve">SUM, AVERAGE, COUNT, COUNTA, MAX, MIN</t>
  </si>
  <si>
    <t xml:space="preserve">IF, IFS, AND, OR</t>
  </si>
  <si>
    <t xml:space="preserve">SUMIF, SUMIFS, COUNTIF, COUNTIFS</t>
  </si>
  <si>
    <t xml:space="preserve">Cell References: Relative, Absolute, Mixed</t>
  </si>
  <si>
    <t xml:space="preserve">Create and format Tables (Ctrl+T)</t>
  </si>
  <si>
    <t xml:space="preserve">Create and modify Charts: Column, Line, Pie</t>
  </si>
  <si>
    <t xml:space="preserve">PivotTables basicas: Rows, Columns, Values, Filters</t>
  </si>
  <si>
    <t xml:space="preserve">Named Ranges: crear y usar en formulas</t>
  </si>
  <si>
    <t xml:space="preserve">Data Validation: Drop-down Lists, restricciones</t>
  </si>
  <si>
    <t xml:space="preserve">Print settings: Page Layout, Headers/Footers, Print Area</t>
  </si>
  <si>
    <t xml:space="preserve">--- MOS EXPERT ---</t>
  </si>
  <si>
    <t xml:space="preserve">VLOOKUP, XLOOKUP, INDEX+MATCH</t>
  </si>
  <si>
    <t xml:space="preserve">Dynamic Arrays: FILTER, SORT, UNIQUE</t>
  </si>
  <si>
    <t xml:space="preserve">Formulas anidadas complejas</t>
  </si>
  <si>
    <t xml:space="preserve">PivotTables avanzadas: Calculated Fields, Grouping, Slicers</t>
  </si>
  <si>
    <t xml:space="preserve">Conditional Formatting con formulas personalizadas</t>
  </si>
  <si>
    <t xml:space="preserve">Power Query basico: importar y transformar</t>
  </si>
  <si>
    <t xml:space="preserve">Protect Sheet y Protect Workbook</t>
  </si>
  <si>
    <t xml:space="preserve">Trace Precedents y Dependents</t>
  </si>
  <si>
    <t xml:space="preserve">Record Macro y ejecutar macros basicas</t>
  </si>
  <si>
    <t xml:space="preserve">Templates y Workbook options avanzados</t>
  </si>
  <si>
    <t xml:space="preserve">Colaboracion: Comments, Co-authoring</t>
  </si>
  <si>
    <t xml:space="preserve">Marca cada tema con: OK, Necesito repasar, o No lo domino. Enfoca tu estudio en los que no dominas.</t>
  </si>
  <si>
    <t xml:space="preserve">Datos multi-tabla para Power Pivot</t>
  </si>
  <si>
    <t xml:space="preserve">  Mod 3: Carga estas tablas al Data Model y crea Relationships</t>
  </si>
  <si>
    <t xml:space="preserve">Instrucciones: Carga cada tabla al Data Model y crea Relationships por ProductID y SalespersonID.</t>
  </si>
  <si>
    <t xml:space="preserve">Tabla: Products</t>
  </si>
  <si>
    <t xml:space="preserve">ProductID</t>
  </si>
  <si>
    <t xml:space="preserve">ProductName</t>
  </si>
  <si>
    <t xml:space="preserve">Category</t>
  </si>
  <si>
    <t xml:space="preserve">UnitPrice</t>
  </si>
  <si>
    <t xml:space="preserve">P01</t>
  </si>
  <si>
    <t xml:space="preserve">Laptop</t>
  </si>
  <si>
    <t xml:space="preserve">Electronics</t>
  </si>
  <si>
    <t xml:space="preserve">P02</t>
  </si>
  <si>
    <t xml:space="preserve">Monitor</t>
  </si>
  <si>
    <t xml:space="preserve">P03</t>
  </si>
  <si>
    <t xml:space="preserve">Mouse</t>
  </si>
  <si>
    <t xml:space="preserve">Accessories</t>
  </si>
  <si>
    <t xml:space="preserve">P04</t>
  </si>
  <si>
    <t xml:space="preserve">Keyboard</t>
  </si>
  <si>
    <t xml:space="preserve">P05</t>
  </si>
  <si>
    <t xml:space="preserve">Webcam</t>
  </si>
  <si>
    <t xml:space="preserve">Tabla: Salespeople</t>
  </si>
  <si>
    <t xml:space="preserve">SalespersonID</t>
  </si>
  <si>
    <t xml:space="preserve">Name</t>
  </si>
  <si>
    <t xml:space="preserve">Region</t>
  </si>
  <si>
    <t xml:space="preserve">S01</t>
  </si>
  <si>
    <t xml:space="preserve">Ana Lopez</t>
  </si>
  <si>
    <t xml:space="preserve">Norte</t>
  </si>
  <si>
    <t xml:space="preserve">S02</t>
  </si>
  <si>
    <t xml:space="preserve">Carlos Ruiz</t>
  </si>
  <si>
    <t xml:space="preserve">Sur</t>
  </si>
  <si>
    <t xml:space="preserve">S03</t>
  </si>
  <si>
    <t xml:space="preserve">Maria Torres</t>
  </si>
  <si>
    <t xml:space="preserve">Este</t>
  </si>
  <si>
    <t xml:space="preserve">S04</t>
  </si>
  <si>
    <t xml:space="preserve">Juan Perez</t>
  </si>
  <si>
    <t xml:space="preserve">Oeste</t>
  </si>
  <si>
    <t xml:space="preserve">Tabla: Sales (Fact Table)</t>
  </si>
  <si>
    <t xml:space="preserve">Date</t>
  </si>
  <si>
    <t xml:space="preserve">Quantity</t>
  </si>
  <si>
    <t xml:space="preserve">Revenue</t>
  </si>
  <si>
    <t xml:space="preserve">Cost</t>
  </si>
  <si>
    <t xml:space="preserve">2025-05-06</t>
  </si>
  <si>
    <t xml:space="preserve">2025-06-21</t>
  </si>
  <si>
    <t xml:space="preserve">2025-01-24</t>
  </si>
  <si>
    <t xml:space="preserve">2025-06-08</t>
  </si>
  <si>
    <t xml:space="preserve">2025-02-03</t>
  </si>
  <si>
    <t xml:space="preserve">2025-03-11</t>
  </si>
  <si>
    <t xml:space="preserve">2025-04-06</t>
  </si>
  <si>
    <t xml:space="preserve">2025-05-28</t>
  </si>
  <si>
    <t xml:space="preserve">2025-01-02</t>
  </si>
  <si>
    <t xml:space="preserve">2025-06-13</t>
  </si>
  <si>
    <t xml:space="preserve">2025-03-16</t>
  </si>
  <si>
    <t xml:space="preserve">2025-03-04</t>
  </si>
  <si>
    <t xml:space="preserve">2025-06-28</t>
  </si>
  <si>
    <t xml:space="preserve">2025-01-20</t>
  </si>
  <si>
    <t xml:space="preserve">2025-03-06</t>
  </si>
  <si>
    <t xml:space="preserve">2025-02-16</t>
  </si>
  <si>
    <t xml:space="preserve">2025-02-07</t>
  </si>
  <si>
    <t xml:space="preserve">2025-05-14</t>
  </si>
  <si>
    <t xml:space="preserve">2025-01-03</t>
  </si>
  <si>
    <t xml:space="preserve">2025-02-26</t>
  </si>
  <si>
    <t xml:space="preserve">2025-06-16</t>
  </si>
  <si>
    <t xml:space="preserve">2025-01-16</t>
  </si>
  <si>
    <t xml:space="preserve">2025-01-11</t>
  </si>
  <si>
    <t xml:space="preserve">2025-05-07</t>
  </si>
  <si>
    <t xml:space="preserve">2025-01-01</t>
  </si>
  <si>
    <t xml:space="preserve">Relationships a crear:</t>
  </si>
  <si>
    <t xml:space="preserve">Sales[ProductID] &gt; Products[ProductID] (many-to-one)</t>
  </si>
  <si>
    <t xml:space="preserve">Sales[SalespersonID] &gt; Salespeople[SalespersonID] (many-to-one)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</si>
</sst>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EDCAD0"/>
      <name val="Arial"/>
      <family val="0"/>
      <charset val="1"/>
    </font>
    <font>
      <b val="true"/>
      <sz val="10"/>
      <color rgb="FF7B1D32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3"/>
      <color rgb="FF520F1E"/>
      <name val="Arial"/>
      <family val="0"/>
      <charset val="1"/>
    </font>
    <font>
      <sz val="10"/>
      <color rgb="FF520F1E"/>
      <name val="Consolas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7B1D32"/>
        <bgColor rgb="FF520F1E"/>
      </patternFill>
    </fill>
    <fill>
      <patternFill patternType="solid">
        <fgColor rgb="FFF5F5F5"/>
        <bgColor rgb="FFFFFFFF"/>
      </patternFill>
    </fill>
    <fill>
      <patternFill patternType="solid">
        <fgColor rgb="FFFFF9C4"/>
        <bgColor rgb="FFFFFF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2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5F5F5"/>
      <rgbColor rgb="FF520F1E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DCAD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5C480F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480F"/>
    <pageSetUpPr fitToPage="false"/>
  </sheetPr>
  <dimension ref="A1:I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  <c r="H7" s="4"/>
      <c r="I7" s="4"/>
    </row>
    <row r="8" customFormat="false" ht="1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  <c r="H9" s="4"/>
      <c r="I9" s="4"/>
    </row>
  </sheetData>
  <mergeCells count="7">
    <mergeCell ref="A1:I2"/>
    <mergeCell ref="A3:I3"/>
    <mergeCell ref="C5:I5"/>
    <mergeCell ref="C6:I6"/>
    <mergeCell ref="C7:I7"/>
    <mergeCell ref="C8:I8"/>
    <mergeCell ref="C9:I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10" min="3" style="0" width="16"/>
  </cols>
  <sheetData>
    <row r="1" customFormat="false" ht="27.7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13</v>
      </c>
      <c r="B3" s="2"/>
      <c r="C3" s="2"/>
      <c r="D3" s="2"/>
      <c r="E3" s="2"/>
      <c r="F3" s="2"/>
      <c r="G3" s="2"/>
      <c r="H3" s="2"/>
      <c r="I3" s="2"/>
    </row>
    <row r="5" customFormat="false" ht="16.15" hidden="false" customHeight="false" outlineLevel="0" collapsed="false">
      <c r="B5" s="5" t="s">
        <v>14</v>
      </c>
    </row>
    <row r="6" customFormat="false" ht="15" hidden="false" customHeight="false" outlineLevel="0" collapsed="false">
      <c r="B6" s="6" t="s">
        <v>15</v>
      </c>
    </row>
    <row r="7" customFormat="false" ht="15" hidden="false" customHeight="false" outlineLevel="0" collapsed="false">
      <c r="B7" s="6" t="s">
        <v>16</v>
      </c>
    </row>
    <row r="8" customFormat="false" ht="15" hidden="false" customHeight="false" outlineLevel="0" collapsed="false">
      <c r="B8" s="6" t="s">
        <v>17</v>
      </c>
    </row>
    <row r="9" customFormat="false" ht="15" hidden="false" customHeight="false" outlineLevel="0" collapsed="false">
      <c r="B9" s="6" t="s">
        <v>18</v>
      </c>
    </row>
    <row r="10" customFormat="false" ht="15" hidden="false" customHeight="false" outlineLevel="0" collapsed="false">
      <c r="B10" s="6" t="s">
        <v>19</v>
      </c>
    </row>
    <row r="11" customFormat="false" ht="15" hidden="false" customHeight="false" outlineLevel="0" collapsed="false">
      <c r="B11" s="6" t="s">
        <v>20</v>
      </c>
    </row>
    <row r="12" customFormat="false" ht="15" hidden="false" customHeight="false" outlineLevel="0" collapsed="false">
      <c r="B12" s="6" t="s">
        <v>21</v>
      </c>
    </row>
    <row r="13" customFormat="false" ht="15" hidden="false" customHeight="false" outlineLevel="0" collapsed="false">
      <c r="B13" s="6" t="s">
        <v>22</v>
      </c>
    </row>
    <row r="14" customFormat="false" ht="15" hidden="false" customHeight="false" outlineLevel="0" collapsed="false">
      <c r="B14" s="6" t="s">
        <v>23</v>
      </c>
    </row>
    <row r="15" customFormat="false" ht="15" hidden="false" customHeight="false" outlineLevel="0" collapsed="false">
      <c r="B15" s="6" t="s">
        <v>24</v>
      </c>
    </row>
    <row r="18" customFormat="false" ht="16.15" hidden="false" customHeight="false" outlineLevel="0" collapsed="false">
      <c r="B18" s="5" t="s">
        <v>25</v>
      </c>
    </row>
    <row r="19" customFormat="false" ht="15" hidden="false" customHeight="false" outlineLevel="0" collapsed="false">
      <c r="B19" s="6" t="s">
        <v>26</v>
      </c>
    </row>
    <row r="20" customFormat="false" ht="15" hidden="false" customHeight="false" outlineLevel="0" collapsed="false">
      <c r="B20" s="6" t="s">
        <v>27</v>
      </c>
    </row>
    <row r="21" customFormat="false" ht="15" hidden="false" customHeight="false" outlineLevel="0" collapsed="false">
      <c r="B21" s="6" t="s">
        <v>16</v>
      </c>
    </row>
    <row r="22" customFormat="false" ht="15" hidden="false" customHeight="false" outlineLevel="0" collapsed="false">
      <c r="B22" s="6" t="s">
        <v>28</v>
      </c>
    </row>
    <row r="23" customFormat="false" ht="15" hidden="false" customHeight="false" outlineLevel="0" collapsed="false">
      <c r="B23" s="6" t="s">
        <v>29</v>
      </c>
    </row>
    <row r="24" customFormat="false" ht="15" hidden="false" customHeight="false" outlineLevel="0" collapsed="false">
      <c r="B24" s="6" t="s">
        <v>30</v>
      </c>
    </row>
    <row r="25" customFormat="false" ht="15" hidden="false" customHeight="false" outlineLevel="0" collapsed="false">
      <c r="B25" s="6" t="s">
        <v>31</v>
      </c>
    </row>
    <row r="26" customFormat="false" ht="15" hidden="false" customHeight="false" outlineLevel="0" collapsed="false">
      <c r="B26" s="6" t="s">
        <v>32</v>
      </c>
    </row>
    <row r="27" customFormat="false" ht="15" hidden="false" customHeight="false" outlineLevel="0" collapsed="false">
      <c r="B27" s="6" t="s">
        <v>33</v>
      </c>
    </row>
    <row r="28" customFormat="false" ht="15" hidden="false" customHeight="false" outlineLevel="0" collapsed="false">
      <c r="B28" s="6" t="s">
        <v>34</v>
      </c>
    </row>
    <row r="29" customFormat="false" ht="15" hidden="false" customHeight="false" outlineLevel="0" collapsed="false">
      <c r="B29" s="6" t="s">
        <v>35</v>
      </c>
    </row>
    <row r="30" customFormat="false" ht="15" hidden="false" customHeight="false" outlineLevel="0" collapsed="false">
      <c r="B30" s="6" t="s">
        <v>36</v>
      </c>
    </row>
    <row r="31" customFormat="false" ht="15" hidden="false" customHeight="false" outlineLevel="0" collapsed="false">
      <c r="B31" s="6" t="s">
        <v>37</v>
      </c>
    </row>
    <row r="32" customFormat="false" ht="15" hidden="false" customHeight="false" outlineLevel="0" collapsed="false">
      <c r="B32" s="6" t="s">
        <v>24</v>
      </c>
    </row>
    <row r="35" customFormat="false" ht="16.15" hidden="false" customHeight="false" outlineLevel="0" collapsed="false">
      <c r="B35" s="5" t="s">
        <v>38</v>
      </c>
    </row>
    <row r="36" customFormat="false" ht="15" hidden="false" customHeight="false" outlineLevel="0" collapsed="false">
      <c r="B36" s="6" t="s">
        <v>39</v>
      </c>
    </row>
    <row r="37" customFormat="false" ht="15" hidden="false" customHeight="false" outlineLevel="0" collapsed="false">
      <c r="B37" s="6" t="s">
        <v>40</v>
      </c>
    </row>
    <row r="38" customFormat="false" ht="15" hidden="false" customHeight="false" outlineLevel="0" collapsed="false">
      <c r="B38" s="6" t="s">
        <v>41</v>
      </c>
    </row>
    <row r="39" customFormat="false" ht="15" hidden="false" customHeight="false" outlineLevel="0" collapsed="false">
      <c r="B39" s="6" t="s">
        <v>42</v>
      </c>
    </row>
    <row r="40" customFormat="false" ht="15" hidden="false" customHeight="false" outlineLevel="0" collapsed="false">
      <c r="B40" s="6" t="s">
        <v>43</v>
      </c>
    </row>
    <row r="41" customFormat="false" ht="15" hidden="false" customHeight="false" outlineLevel="0" collapsed="false">
      <c r="B41" s="6" t="s">
        <v>44</v>
      </c>
    </row>
    <row r="42" customFormat="false" ht="15" hidden="false" customHeight="false" outlineLevel="0" collapsed="false">
      <c r="B42" s="6" t="s">
        <v>45</v>
      </c>
    </row>
    <row r="43" customFormat="false" ht="15" hidden="false" customHeight="false" outlineLevel="0" collapsed="false">
      <c r="B43" s="6" t="s">
        <v>24</v>
      </c>
    </row>
    <row r="46" customFormat="false" ht="15" hidden="false" customHeight="false" outlineLevel="0" collapsed="false">
      <c r="B46" s="7" t="s">
        <v>46</v>
      </c>
      <c r="C46" s="7"/>
      <c r="D46" s="7"/>
      <c r="E46" s="7"/>
      <c r="F46" s="7"/>
      <c r="G46" s="7"/>
      <c r="H46" s="7"/>
      <c r="I46" s="7"/>
    </row>
  </sheetData>
  <mergeCells count="3">
    <mergeCell ref="A1:I2"/>
    <mergeCell ref="A3:I3"/>
    <mergeCell ref="B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36"/>
    <col collapsed="false" customWidth="true" hidden="false" outlineLevel="0" max="10" min="5" style="0" width="16"/>
  </cols>
  <sheetData>
    <row r="1" customFormat="false" ht="27.7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48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8" t="s">
        <v>49</v>
      </c>
      <c r="C5" s="8" t="s">
        <v>50</v>
      </c>
      <c r="D5" s="8" t="s">
        <v>51</v>
      </c>
    </row>
    <row r="6" customFormat="false" ht="23.85" hidden="false" customHeight="false" outlineLevel="0" collapsed="false">
      <c r="B6" s="9" t="s">
        <v>52</v>
      </c>
      <c r="C6" s="10" t="e">
        <f aca="false">SUM(table[column])</f>
        <v>#VALUE!</v>
      </c>
      <c r="D6" s="11" t="s">
        <v>53</v>
      </c>
    </row>
    <row r="7" customFormat="false" ht="23.85" hidden="false" customHeight="false" outlineLevel="0" collapsed="false">
      <c r="B7" s="9" t="s">
        <v>54</v>
      </c>
      <c r="C7" s="10" t="e">
        <f aca="false">calculate(expression, filter1, ...)</f>
        <v>#VALUE!</v>
      </c>
      <c r="D7" s="11" t="s">
        <v>55</v>
      </c>
    </row>
    <row r="8" customFormat="false" ht="23.85" hidden="false" customHeight="false" outlineLevel="0" collapsed="false">
      <c r="B8" s="9" t="s">
        <v>56</v>
      </c>
      <c r="C8" s="10" t="e">
        <f aca="false">sumx(table, expression)</f>
        <v>#NAME?</v>
      </c>
      <c r="D8" s="11" t="s">
        <v>57</v>
      </c>
    </row>
    <row r="9" customFormat="false" ht="23.85" hidden="false" customHeight="false" outlineLevel="0" collapsed="false">
      <c r="B9" s="9" t="s">
        <v>58</v>
      </c>
      <c r="C9" s="10" t="e">
        <f aca="false">countrows(table)</f>
        <v>#NAME?</v>
      </c>
      <c r="D9" s="11" t="s">
        <v>59</v>
      </c>
    </row>
    <row r="10" customFormat="false" ht="15" hidden="false" customHeight="false" outlineLevel="0" collapsed="false">
      <c r="B10" s="9" t="s">
        <v>60</v>
      </c>
      <c r="C10" s="10" t="e">
        <f aca="false">AVERAGE(table[column])</f>
        <v>#VALUE!</v>
      </c>
      <c r="D10" s="11" t="s">
        <v>61</v>
      </c>
    </row>
    <row r="11" customFormat="false" ht="23.85" hidden="false" customHeight="false" outlineLevel="0" collapsed="false">
      <c r="B11" s="9" t="s">
        <v>62</v>
      </c>
      <c r="C11" s="10" t="e">
        <f aca="false">related(table[column])</f>
        <v>#VALUE!</v>
      </c>
      <c r="D11" s="11" t="s">
        <v>63</v>
      </c>
    </row>
    <row r="12" customFormat="false" ht="23.85" hidden="false" customHeight="false" outlineLevel="0" collapsed="false">
      <c r="B12" s="9" t="s">
        <v>64</v>
      </c>
      <c r="C12" s="10" t="e">
        <f aca="false">divide(numerator, denominator, alt)</f>
        <v>#NAME?</v>
      </c>
      <c r="D12" s="11" t="s">
        <v>65</v>
      </c>
    </row>
    <row r="13" customFormat="false" ht="23.85" hidden="false" customHeight="false" outlineLevel="0" collapsed="false">
      <c r="B13" s="9" t="s">
        <v>66</v>
      </c>
      <c r="C13" s="10" t="e">
        <f aca="false">all(table) o all(table[col])</f>
        <v>#VALUE!</v>
      </c>
      <c r="D13" s="11" t="s">
        <v>67</v>
      </c>
    </row>
    <row r="14" customFormat="false" ht="23.85" hidden="false" customHeight="false" outlineLevel="0" collapsed="false">
      <c r="B14" s="9" t="s">
        <v>68</v>
      </c>
      <c r="C14" s="10" t="e">
        <f aca="false">filter(table, condition)</f>
        <v>#NAME?</v>
      </c>
      <c r="D14" s="11" t="s">
        <v>69</v>
      </c>
    </row>
    <row r="15" customFormat="false" ht="15" hidden="false" customHeight="false" outlineLevel="0" collapsed="false">
      <c r="B15" s="9" t="s">
        <v>70</v>
      </c>
      <c r="C15" s="10" t="e">
        <f aca="false">distinctcount(table[column])</f>
        <v>#VALUE!</v>
      </c>
      <c r="D15" s="11" t="s">
        <v>71</v>
      </c>
    </row>
    <row r="18" customFormat="false" ht="16.15" hidden="false" customHeight="false" outlineLevel="0" collapsed="false">
      <c r="B18" s="5" t="s">
        <v>72</v>
      </c>
    </row>
    <row r="19" customFormat="false" ht="15" hidden="false" customHeight="false" outlineLevel="0" collapsed="false">
      <c r="B19" s="12" t="s">
        <v>73</v>
      </c>
      <c r="C19" s="13" t="e">
        <f aca="false">divide(SUM(sales[revenue])-SUM(sales[cost]), SUM(sales[revenue]), 0)</f>
        <v>#VALUE!</v>
      </c>
      <c r="D19" s="13"/>
      <c r="E19" s="13"/>
      <c r="F19" s="13"/>
      <c r="G19" s="13"/>
      <c r="H19" s="13"/>
    </row>
  </sheetData>
  <mergeCells count="3">
    <mergeCell ref="A1:I2"/>
    <mergeCell ref="A3:I3"/>
    <mergeCell ref="C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10" min="4" style="0" width="16"/>
  </cols>
  <sheetData>
    <row r="1" customFormat="false" ht="27.75" hidden="false" customHeight="true" outlineLevel="0" collapsed="false">
      <c r="A1" s="1" t="s">
        <v>74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75</v>
      </c>
      <c r="B3" s="2"/>
      <c r="C3" s="2"/>
      <c r="D3" s="2"/>
      <c r="E3" s="2"/>
      <c r="F3" s="2"/>
      <c r="G3" s="2"/>
      <c r="H3" s="2"/>
      <c r="I3" s="2"/>
    </row>
    <row r="5" customFormat="false" ht="16.15" hidden="false" customHeight="false" outlineLevel="0" collapsed="false">
      <c r="B5" s="5" t="s">
        <v>76</v>
      </c>
    </row>
    <row r="6" customFormat="false" ht="23.85" hidden="false" customHeight="false" outlineLevel="0" collapsed="false">
      <c r="B6" s="9" t="s">
        <v>77</v>
      </c>
      <c r="C6" s="14" t="s">
        <v>78</v>
      </c>
    </row>
    <row r="7" customFormat="false" ht="23.85" hidden="false" customHeight="false" outlineLevel="0" collapsed="false">
      <c r="B7" s="9" t="s">
        <v>79</v>
      </c>
      <c r="C7" s="14" t="s">
        <v>80</v>
      </c>
    </row>
    <row r="8" customFormat="false" ht="15" hidden="false" customHeight="false" outlineLevel="0" collapsed="false">
      <c r="B8" s="9" t="s">
        <v>81</v>
      </c>
      <c r="C8" s="14" t="s">
        <v>82</v>
      </c>
    </row>
    <row r="9" customFormat="false" ht="23.85" hidden="false" customHeight="false" outlineLevel="0" collapsed="false">
      <c r="B9" s="9" t="s">
        <v>83</v>
      </c>
      <c r="C9" s="14" t="s">
        <v>84</v>
      </c>
    </row>
    <row r="11" customFormat="false" ht="16.15" hidden="false" customHeight="false" outlineLevel="0" collapsed="false">
      <c r="B11" s="5" t="s">
        <v>85</v>
      </c>
    </row>
    <row r="12" customFormat="false" ht="23.85" hidden="false" customHeight="false" outlineLevel="0" collapsed="false">
      <c r="B12" s="9" t="s">
        <v>77</v>
      </c>
      <c r="C12" s="14" t="s">
        <v>86</v>
      </c>
    </row>
    <row r="13" customFormat="false" ht="15" hidden="false" customHeight="false" outlineLevel="0" collapsed="false">
      <c r="B13" s="9" t="s">
        <v>87</v>
      </c>
      <c r="C13" s="14" t="s">
        <v>88</v>
      </c>
    </row>
    <row r="14" customFormat="false" ht="15" hidden="false" customHeight="false" outlineLevel="0" collapsed="false">
      <c r="B14" s="9" t="s">
        <v>89</v>
      </c>
      <c r="C14" s="14" t="s">
        <v>90</v>
      </c>
    </row>
    <row r="16" customFormat="false" ht="16.15" hidden="false" customHeight="false" outlineLevel="0" collapsed="false">
      <c r="B16" s="5" t="s">
        <v>91</v>
      </c>
    </row>
    <row r="17" customFormat="false" ht="15" hidden="false" customHeight="false" outlineLevel="0" collapsed="false">
      <c r="B17" s="9" t="s">
        <v>77</v>
      </c>
      <c r="C17" s="14" t="s">
        <v>92</v>
      </c>
    </row>
    <row r="18" customFormat="false" ht="23.85" hidden="false" customHeight="false" outlineLevel="0" collapsed="false">
      <c r="B18" s="9" t="s">
        <v>93</v>
      </c>
      <c r="C18" s="14" t="s">
        <v>94</v>
      </c>
    </row>
    <row r="19" customFormat="false" ht="23.85" hidden="false" customHeight="false" outlineLevel="0" collapsed="false">
      <c r="B19" s="9" t="s">
        <v>95</v>
      </c>
      <c r="C19" s="14" t="s">
        <v>96</v>
      </c>
    </row>
    <row r="21" customFormat="false" ht="16.15" hidden="false" customHeight="false" outlineLevel="0" collapsed="false">
      <c r="B21" s="5" t="s">
        <v>97</v>
      </c>
    </row>
    <row r="22" customFormat="false" ht="15" hidden="false" customHeight="false" outlineLevel="0" collapsed="false">
      <c r="B22" s="9" t="s">
        <v>77</v>
      </c>
      <c r="C22" s="14" t="s">
        <v>98</v>
      </c>
    </row>
    <row r="23" customFormat="false" ht="15" hidden="false" customHeight="false" outlineLevel="0" collapsed="false">
      <c r="B23" s="9" t="s">
        <v>99</v>
      </c>
      <c r="C23" s="14" t="s">
        <v>100</v>
      </c>
    </row>
    <row r="24" customFormat="false" ht="15" hidden="false" customHeight="false" outlineLevel="0" collapsed="false">
      <c r="B24" s="9" t="s">
        <v>101</v>
      </c>
      <c r="C24" s="14" t="s">
        <v>102</v>
      </c>
    </row>
    <row r="25" customFormat="false" ht="15" hidden="false" customHeight="false" outlineLevel="0" collapsed="false">
      <c r="B25" s="9" t="s">
        <v>103</v>
      </c>
      <c r="C25" s="14" t="s">
        <v>104</v>
      </c>
    </row>
    <row r="27" customFormat="false" ht="16.15" hidden="false" customHeight="false" outlineLevel="0" collapsed="false">
      <c r="B27" s="5" t="s">
        <v>105</v>
      </c>
    </row>
    <row r="28" customFormat="false" ht="15" hidden="false" customHeight="false" outlineLevel="0" collapsed="false">
      <c r="B28" s="9" t="s">
        <v>106</v>
      </c>
      <c r="C28" s="14" t="s">
        <v>107</v>
      </c>
    </row>
    <row r="29" customFormat="false" ht="23.85" hidden="false" customHeight="false" outlineLevel="0" collapsed="false">
      <c r="B29" s="9" t="s">
        <v>108</v>
      </c>
      <c r="C29" s="14" t="s">
        <v>109</v>
      </c>
    </row>
    <row r="30" customFormat="false" ht="23.85" hidden="false" customHeight="false" outlineLevel="0" collapsed="false">
      <c r="B30" s="9" t="s">
        <v>110</v>
      </c>
      <c r="C30" s="14" t="s">
        <v>111</v>
      </c>
    </row>
    <row r="32" customFormat="false" ht="16.15" hidden="false" customHeight="false" outlineLevel="0" collapsed="false">
      <c r="B32" s="5" t="s">
        <v>112</v>
      </c>
    </row>
    <row r="33" customFormat="false" ht="15" hidden="false" customHeight="false" outlineLevel="0" collapsed="false">
      <c r="B33" s="9" t="s">
        <v>77</v>
      </c>
      <c r="C33" s="14" t="s">
        <v>113</v>
      </c>
    </row>
    <row r="34" customFormat="false" ht="15" hidden="false" customHeight="false" outlineLevel="0" collapsed="false">
      <c r="B34" s="9" t="s">
        <v>114</v>
      </c>
      <c r="C34" s="14" t="s">
        <v>115</v>
      </c>
    </row>
    <row r="35" customFormat="false" ht="23.85" hidden="false" customHeight="false" outlineLevel="0" collapsed="false">
      <c r="B35" s="9" t="s">
        <v>95</v>
      </c>
      <c r="C35" s="14" t="s">
        <v>116</v>
      </c>
    </row>
  </sheetData>
  <mergeCells count="2">
    <mergeCell ref="A1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10" min="4" style="0" width="16"/>
  </cols>
  <sheetData>
    <row r="1" customFormat="false" ht="27.75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118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8" t="s">
        <v>119</v>
      </c>
      <c r="C5" s="8" t="s">
        <v>120</v>
      </c>
    </row>
    <row r="6" customFormat="false" ht="16.15" hidden="false" customHeight="false" outlineLevel="0" collapsed="false">
      <c r="B6" s="15" t="s">
        <v>121</v>
      </c>
    </row>
    <row r="7" customFormat="false" ht="15" hidden="false" customHeight="false" outlineLevel="0" collapsed="false">
      <c r="B7" s="16" t="s">
        <v>122</v>
      </c>
      <c r="C7" s="17"/>
    </row>
    <row r="8" customFormat="false" ht="15" hidden="false" customHeight="false" outlineLevel="0" collapsed="false">
      <c r="B8" s="16" t="s">
        <v>123</v>
      </c>
      <c r="C8" s="17"/>
    </row>
    <row r="9" customFormat="false" ht="15" hidden="false" customHeight="false" outlineLevel="0" collapsed="false">
      <c r="B9" s="16" t="s">
        <v>124</v>
      </c>
      <c r="C9" s="17"/>
    </row>
    <row r="10" customFormat="false" ht="15" hidden="false" customHeight="false" outlineLevel="0" collapsed="false">
      <c r="B10" s="16" t="s">
        <v>125</v>
      </c>
      <c r="C10" s="17"/>
    </row>
    <row r="11" customFormat="false" ht="15" hidden="false" customHeight="false" outlineLevel="0" collapsed="false">
      <c r="B11" s="16" t="s">
        <v>126</v>
      </c>
      <c r="C11" s="17"/>
    </row>
    <row r="12" customFormat="false" ht="15" hidden="false" customHeight="false" outlineLevel="0" collapsed="false">
      <c r="B12" s="16" t="s">
        <v>127</v>
      </c>
      <c r="C12" s="17"/>
    </row>
    <row r="13" customFormat="false" ht="15" hidden="false" customHeight="false" outlineLevel="0" collapsed="false">
      <c r="B13" s="16" t="s">
        <v>128</v>
      </c>
      <c r="C13" s="17"/>
    </row>
    <row r="14" customFormat="false" ht="15" hidden="false" customHeight="false" outlineLevel="0" collapsed="false">
      <c r="B14" s="16" t="s">
        <v>129</v>
      </c>
      <c r="C14" s="17"/>
    </row>
    <row r="15" customFormat="false" ht="15" hidden="false" customHeight="false" outlineLevel="0" collapsed="false">
      <c r="B15" s="16" t="s">
        <v>130</v>
      </c>
      <c r="C15" s="17"/>
    </row>
    <row r="16" customFormat="false" ht="15" hidden="false" customHeight="false" outlineLevel="0" collapsed="false">
      <c r="B16" s="16" t="s">
        <v>131</v>
      </c>
      <c r="C16" s="17"/>
    </row>
    <row r="17" customFormat="false" ht="15" hidden="false" customHeight="false" outlineLevel="0" collapsed="false">
      <c r="B17" s="16" t="s">
        <v>132</v>
      </c>
      <c r="C17" s="17"/>
    </row>
    <row r="18" customFormat="false" ht="15" hidden="false" customHeight="false" outlineLevel="0" collapsed="false">
      <c r="B18" s="16" t="s">
        <v>133</v>
      </c>
      <c r="C18" s="17"/>
    </row>
    <row r="19" customFormat="false" ht="15" hidden="false" customHeight="false" outlineLevel="0" collapsed="false">
      <c r="B19" s="16" t="s">
        <v>134</v>
      </c>
      <c r="C19" s="17"/>
    </row>
    <row r="20" customFormat="false" ht="15" hidden="false" customHeight="false" outlineLevel="0" collapsed="false">
      <c r="B20" s="16" t="s">
        <v>135</v>
      </c>
      <c r="C20" s="17"/>
    </row>
    <row r="21" customFormat="false" ht="15" hidden="false" customHeight="false" outlineLevel="0" collapsed="false">
      <c r="B21" s="16" t="s">
        <v>136</v>
      </c>
      <c r="C21" s="17"/>
    </row>
    <row r="22" customFormat="false" ht="15" hidden="false" customHeight="false" outlineLevel="0" collapsed="false">
      <c r="B22" s="16"/>
    </row>
    <row r="23" customFormat="false" ht="16.15" hidden="false" customHeight="false" outlineLevel="0" collapsed="false">
      <c r="B23" s="15" t="s">
        <v>137</v>
      </c>
    </row>
    <row r="24" customFormat="false" ht="15" hidden="false" customHeight="false" outlineLevel="0" collapsed="false">
      <c r="B24" s="16" t="s">
        <v>138</v>
      </c>
      <c r="C24" s="17"/>
    </row>
    <row r="25" customFormat="false" ht="15" hidden="false" customHeight="false" outlineLevel="0" collapsed="false">
      <c r="B25" s="16" t="s">
        <v>139</v>
      </c>
      <c r="C25" s="17"/>
    </row>
    <row r="26" customFormat="false" ht="15" hidden="false" customHeight="false" outlineLevel="0" collapsed="false">
      <c r="B26" s="16" t="s">
        <v>140</v>
      </c>
      <c r="C26" s="17"/>
    </row>
    <row r="27" customFormat="false" ht="15" hidden="false" customHeight="false" outlineLevel="0" collapsed="false">
      <c r="B27" s="16" t="s">
        <v>141</v>
      </c>
      <c r="C27" s="17"/>
    </row>
    <row r="28" customFormat="false" ht="15" hidden="false" customHeight="false" outlineLevel="0" collapsed="false">
      <c r="B28" s="16" t="s">
        <v>142</v>
      </c>
      <c r="C28" s="17"/>
    </row>
    <row r="29" customFormat="false" ht="15" hidden="false" customHeight="false" outlineLevel="0" collapsed="false">
      <c r="B29" s="16" t="s">
        <v>143</v>
      </c>
      <c r="C29" s="17"/>
    </row>
    <row r="30" customFormat="false" ht="15" hidden="false" customHeight="false" outlineLevel="0" collapsed="false">
      <c r="B30" s="16" t="s">
        <v>144</v>
      </c>
      <c r="C30" s="17"/>
    </row>
    <row r="31" customFormat="false" ht="15" hidden="false" customHeight="false" outlineLevel="0" collapsed="false">
      <c r="B31" s="16" t="s">
        <v>145</v>
      </c>
      <c r="C31" s="17"/>
    </row>
    <row r="32" customFormat="false" ht="15" hidden="false" customHeight="false" outlineLevel="0" collapsed="false">
      <c r="B32" s="16" t="s">
        <v>146</v>
      </c>
      <c r="C32" s="17"/>
    </row>
    <row r="33" customFormat="false" ht="15" hidden="false" customHeight="false" outlineLevel="0" collapsed="false">
      <c r="B33" s="16" t="s">
        <v>147</v>
      </c>
      <c r="C33" s="17"/>
    </row>
    <row r="34" customFormat="false" ht="15" hidden="false" customHeight="false" outlineLevel="0" collapsed="false">
      <c r="B34" s="16" t="s">
        <v>148</v>
      </c>
      <c r="C34" s="17"/>
    </row>
    <row r="36" customFormat="false" ht="15" hidden="false" customHeight="false" outlineLevel="0" collapsed="false">
      <c r="B36" s="7" t="s">
        <v>149</v>
      </c>
      <c r="C36" s="7"/>
      <c r="D36" s="7"/>
      <c r="E36" s="7"/>
      <c r="F36" s="7"/>
      <c r="G36" s="7"/>
      <c r="H36" s="7"/>
    </row>
  </sheetData>
  <mergeCells count="3">
    <mergeCell ref="A1:I2"/>
    <mergeCell ref="A3:I3"/>
    <mergeCell ref="B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1D32"/>
    <pageSetUpPr fitToPage="false"/>
  </sheetPr>
  <dimension ref="A1:I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0" min="2" style="0" width="16"/>
  </cols>
  <sheetData>
    <row r="1" customFormat="false" ht="27.75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21.75" hidden="false" customHeight="true" outlineLevel="0" collapsed="false">
      <c r="A3" s="2" t="s">
        <v>151</v>
      </c>
      <c r="B3" s="2"/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7" t="s">
        <v>152</v>
      </c>
      <c r="C5" s="7"/>
      <c r="D5" s="7"/>
      <c r="E5" s="7"/>
      <c r="F5" s="7"/>
      <c r="G5" s="7"/>
      <c r="H5" s="7"/>
      <c r="I5" s="7"/>
    </row>
    <row r="7" customFormat="false" ht="16.15" hidden="false" customHeight="false" outlineLevel="0" collapsed="false">
      <c r="B7" s="5" t="s">
        <v>153</v>
      </c>
    </row>
    <row r="8" customFormat="false" ht="15" hidden="false" customHeight="false" outlineLevel="0" collapsed="false">
      <c r="B8" s="8" t="s">
        <v>154</v>
      </c>
      <c r="C8" s="8" t="s">
        <v>155</v>
      </c>
      <c r="D8" s="8" t="s">
        <v>156</v>
      </c>
      <c r="E8" s="8" t="s">
        <v>157</v>
      </c>
    </row>
    <row r="9" customFormat="false" ht="15" hidden="false" customHeight="false" outlineLevel="0" collapsed="false">
      <c r="B9" s="16" t="s">
        <v>158</v>
      </c>
      <c r="C9" s="16" t="s">
        <v>159</v>
      </c>
      <c r="D9" s="16" t="s">
        <v>160</v>
      </c>
      <c r="E9" s="18" t="n">
        <v>1200</v>
      </c>
    </row>
    <row r="10" customFormat="false" ht="15" hidden="false" customHeight="false" outlineLevel="0" collapsed="false">
      <c r="B10" s="16" t="s">
        <v>161</v>
      </c>
      <c r="C10" s="16" t="s">
        <v>162</v>
      </c>
      <c r="D10" s="16" t="s">
        <v>160</v>
      </c>
      <c r="E10" s="18" t="n">
        <v>400</v>
      </c>
    </row>
    <row r="11" customFormat="false" ht="15" hidden="false" customHeight="false" outlineLevel="0" collapsed="false">
      <c r="B11" s="16" t="s">
        <v>163</v>
      </c>
      <c r="C11" s="16" t="s">
        <v>164</v>
      </c>
      <c r="D11" s="16" t="s">
        <v>165</v>
      </c>
      <c r="E11" s="18" t="n">
        <v>25</v>
      </c>
    </row>
    <row r="12" customFormat="false" ht="15" hidden="false" customHeight="false" outlineLevel="0" collapsed="false">
      <c r="B12" s="16" t="s">
        <v>166</v>
      </c>
      <c r="C12" s="16" t="s">
        <v>167</v>
      </c>
      <c r="D12" s="16" t="s">
        <v>165</v>
      </c>
      <c r="E12" s="18" t="n">
        <v>60</v>
      </c>
    </row>
    <row r="13" customFormat="false" ht="15" hidden="false" customHeight="false" outlineLevel="0" collapsed="false">
      <c r="B13" s="16" t="s">
        <v>168</v>
      </c>
      <c r="C13" s="16" t="s">
        <v>169</v>
      </c>
      <c r="D13" s="16" t="s">
        <v>165</v>
      </c>
      <c r="E13" s="18" t="n">
        <v>85</v>
      </c>
    </row>
    <row r="16" customFormat="false" ht="16.15" hidden="false" customHeight="false" outlineLevel="0" collapsed="false">
      <c r="B16" s="5" t="s">
        <v>170</v>
      </c>
    </row>
    <row r="17" customFormat="false" ht="15" hidden="false" customHeight="false" outlineLevel="0" collapsed="false">
      <c r="B17" s="8" t="s">
        <v>171</v>
      </c>
      <c r="C17" s="8" t="s">
        <v>172</v>
      </c>
      <c r="D17" s="8" t="s">
        <v>173</v>
      </c>
    </row>
    <row r="18" customFormat="false" ht="15" hidden="false" customHeight="false" outlineLevel="0" collapsed="false">
      <c r="B18" s="16" t="s">
        <v>174</v>
      </c>
      <c r="C18" s="16" t="s">
        <v>175</v>
      </c>
      <c r="D18" s="16" t="s">
        <v>176</v>
      </c>
    </row>
    <row r="19" customFormat="false" ht="15" hidden="false" customHeight="false" outlineLevel="0" collapsed="false">
      <c r="B19" s="16" t="s">
        <v>177</v>
      </c>
      <c r="C19" s="16" t="s">
        <v>178</v>
      </c>
      <c r="D19" s="16" t="s">
        <v>179</v>
      </c>
    </row>
    <row r="20" customFormat="false" ht="15" hidden="false" customHeight="false" outlineLevel="0" collapsed="false">
      <c r="B20" s="16" t="s">
        <v>180</v>
      </c>
      <c r="C20" s="16" t="s">
        <v>181</v>
      </c>
      <c r="D20" s="16" t="s">
        <v>182</v>
      </c>
    </row>
    <row r="21" customFormat="false" ht="15" hidden="false" customHeight="false" outlineLevel="0" collapsed="false">
      <c r="B21" s="16" t="s">
        <v>183</v>
      </c>
      <c r="C21" s="16" t="s">
        <v>184</v>
      </c>
      <c r="D21" s="16" t="s">
        <v>185</v>
      </c>
    </row>
    <row r="24" customFormat="false" ht="16.15" hidden="false" customHeight="false" outlineLevel="0" collapsed="false">
      <c r="B24" s="5" t="s">
        <v>186</v>
      </c>
    </row>
    <row r="25" customFormat="false" ht="15" hidden="false" customHeight="false" outlineLevel="0" collapsed="false">
      <c r="B25" s="8" t="s">
        <v>187</v>
      </c>
      <c r="C25" s="8" t="s">
        <v>154</v>
      </c>
      <c r="D25" s="8" t="s">
        <v>171</v>
      </c>
      <c r="E25" s="8" t="s">
        <v>188</v>
      </c>
      <c r="F25" s="8" t="s">
        <v>189</v>
      </c>
      <c r="G25" s="8" t="s">
        <v>190</v>
      </c>
    </row>
    <row r="26" customFormat="false" ht="15" hidden="false" customHeight="false" outlineLevel="0" collapsed="false">
      <c r="B26" s="16" t="s">
        <v>191</v>
      </c>
      <c r="C26" s="16" t="s">
        <v>161</v>
      </c>
      <c r="D26" s="16" t="s">
        <v>180</v>
      </c>
      <c r="E26" s="16" t="n">
        <v>66</v>
      </c>
      <c r="F26" s="18" t="n">
        <v>27202</v>
      </c>
      <c r="G26" s="18" t="n">
        <v>17236</v>
      </c>
    </row>
    <row r="27" customFormat="false" ht="15" hidden="false" customHeight="false" outlineLevel="0" collapsed="false">
      <c r="B27" s="16" t="s">
        <v>191</v>
      </c>
      <c r="C27" s="16" t="s">
        <v>168</v>
      </c>
      <c r="D27" s="16" t="s">
        <v>180</v>
      </c>
      <c r="E27" s="16" t="n">
        <v>92</v>
      </c>
      <c r="F27" s="18" t="n">
        <v>7864</v>
      </c>
      <c r="G27" s="18" t="n">
        <v>4457</v>
      </c>
    </row>
    <row r="28" customFormat="false" ht="15" hidden="false" customHeight="false" outlineLevel="0" collapsed="false">
      <c r="B28" s="16" t="s">
        <v>192</v>
      </c>
      <c r="C28" s="16" t="s">
        <v>158</v>
      </c>
      <c r="D28" s="16" t="s">
        <v>180</v>
      </c>
      <c r="E28" s="16" t="n">
        <v>57</v>
      </c>
      <c r="F28" s="18" t="n">
        <v>65791</v>
      </c>
      <c r="G28" s="18" t="n">
        <v>37791</v>
      </c>
    </row>
    <row r="29" customFormat="false" ht="15" hidden="false" customHeight="false" outlineLevel="0" collapsed="false">
      <c r="B29" s="16" t="s">
        <v>193</v>
      </c>
      <c r="C29" s="16" t="s">
        <v>168</v>
      </c>
      <c r="D29" s="16" t="s">
        <v>183</v>
      </c>
      <c r="E29" s="16" t="n">
        <v>40</v>
      </c>
      <c r="F29" s="18" t="n">
        <v>3691</v>
      </c>
      <c r="G29" s="18" t="n">
        <v>2153</v>
      </c>
    </row>
    <row r="30" customFormat="false" ht="15" hidden="false" customHeight="false" outlineLevel="0" collapsed="false">
      <c r="B30" s="16" t="s">
        <v>194</v>
      </c>
      <c r="C30" s="16" t="s">
        <v>158</v>
      </c>
      <c r="D30" s="16" t="s">
        <v>174</v>
      </c>
      <c r="E30" s="16" t="n">
        <v>45</v>
      </c>
      <c r="F30" s="18" t="n">
        <v>59184</v>
      </c>
      <c r="G30" s="18" t="n">
        <v>32117</v>
      </c>
    </row>
    <row r="31" customFormat="false" ht="15" hidden="false" customHeight="false" outlineLevel="0" collapsed="false">
      <c r="B31" s="16" t="s">
        <v>195</v>
      </c>
      <c r="C31" s="16" t="s">
        <v>163</v>
      </c>
      <c r="D31" s="16" t="s">
        <v>174</v>
      </c>
      <c r="E31" s="16" t="n">
        <v>88</v>
      </c>
      <c r="F31" s="18" t="n">
        <v>2122</v>
      </c>
      <c r="G31" s="18" t="n">
        <v>1138</v>
      </c>
    </row>
    <row r="32" customFormat="false" ht="15" hidden="false" customHeight="false" outlineLevel="0" collapsed="false">
      <c r="B32" s="16" t="s">
        <v>196</v>
      </c>
      <c r="C32" s="16" t="s">
        <v>158</v>
      </c>
      <c r="D32" s="16" t="s">
        <v>180</v>
      </c>
      <c r="E32" s="16" t="n">
        <v>72</v>
      </c>
      <c r="F32" s="18" t="n">
        <v>89139</v>
      </c>
      <c r="G32" s="18" t="n">
        <v>51991</v>
      </c>
    </row>
    <row r="33" customFormat="false" ht="15" hidden="false" customHeight="false" outlineLevel="0" collapsed="false">
      <c r="B33" s="16" t="s">
        <v>197</v>
      </c>
      <c r="C33" s="16" t="s">
        <v>158</v>
      </c>
      <c r="D33" s="16" t="s">
        <v>174</v>
      </c>
      <c r="E33" s="16" t="n">
        <v>51</v>
      </c>
      <c r="F33" s="18" t="n">
        <v>65763</v>
      </c>
      <c r="G33" s="18" t="n">
        <v>40254</v>
      </c>
    </row>
    <row r="34" customFormat="false" ht="15" hidden="false" customHeight="false" outlineLevel="0" collapsed="false">
      <c r="B34" s="16" t="s">
        <v>198</v>
      </c>
      <c r="C34" s="16" t="s">
        <v>158</v>
      </c>
      <c r="D34" s="16" t="s">
        <v>174</v>
      </c>
      <c r="E34" s="16" t="n">
        <v>24</v>
      </c>
      <c r="F34" s="18" t="n">
        <v>26457</v>
      </c>
      <c r="G34" s="18" t="n">
        <v>16436</v>
      </c>
    </row>
    <row r="35" customFormat="false" ht="15" hidden="false" customHeight="false" outlineLevel="0" collapsed="false">
      <c r="B35" s="16" t="s">
        <v>199</v>
      </c>
      <c r="C35" s="16" t="s">
        <v>166</v>
      </c>
      <c r="D35" s="16" t="s">
        <v>180</v>
      </c>
      <c r="E35" s="16" t="n">
        <v>49</v>
      </c>
      <c r="F35" s="18" t="n">
        <v>2765</v>
      </c>
      <c r="G35" s="18" t="n">
        <v>1462</v>
      </c>
    </row>
    <row r="36" customFormat="false" ht="15" hidden="false" customHeight="false" outlineLevel="0" collapsed="false">
      <c r="B36" s="16" t="s">
        <v>200</v>
      </c>
      <c r="C36" s="16" t="s">
        <v>166</v>
      </c>
      <c r="D36" s="16" t="s">
        <v>183</v>
      </c>
      <c r="E36" s="16" t="n">
        <v>50</v>
      </c>
      <c r="F36" s="18" t="n">
        <v>3054</v>
      </c>
      <c r="G36" s="18" t="n">
        <v>1735</v>
      </c>
    </row>
    <row r="37" customFormat="false" ht="15" hidden="false" customHeight="false" outlineLevel="0" collapsed="false">
      <c r="B37" s="16" t="s">
        <v>201</v>
      </c>
      <c r="C37" s="16" t="s">
        <v>158</v>
      </c>
      <c r="D37" s="16" t="s">
        <v>174</v>
      </c>
      <c r="E37" s="16" t="n">
        <v>66</v>
      </c>
      <c r="F37" s="18" t="n">
        <v>77296</v>
      </c>
      <c r="G37" s="18" t="n">
        <v>47435</v>
      </c>
    </row>
    <row r="38" customFormat="false" ht="15" hidden="false" customHeight="false" outlineLevel="0" collapsed="false">
      <c r="B38" s="16" t="s">
        <v>202</v>
      </c>
      <c r="C38" s="16" t="s">
        <v>161</v>
      </c>
      <c r="D38" s="16" t="s">
        <v>174</v>
      </c>
      <c r="E38" s="16" t="n">
        <v>74</v>
      </c>
      <c r="F38" s="18" t="n">
        <v>30397</v>
      </c>
      <c r="G38" s="18" t="n">
        <v>18495</v>
      </c>
    </row>
    <row r="39" customFormat="false" ht="15" hidden="false" customHeight="false" outlineLevel="0" collapsed="false">
      <c r="B39" s="16" t="s">
        <v>203</v>
      </c>
      <c r="C39" s="16" t="s">
        <v>161</v>
      </c>
      <c r="D39" s="16" t="s">
        <v>183</v>
      </c>
      <c r="E39" s="16" t="n">
        <v>98</v>
      </c>
      <c r="F39" s="18" t="n">
        <v>40080</v>
      </c>
      <c r="G39" s="18" t="n">
        <v>20241</v>
      </c>
    </row>
    <row r="40" customFormat="false" ht="15" hidden="false" customHeight="false" outlineLevel="0" collapsed="false">
      <c r="B40" s="16" t="s">
        <v>204</v>
      </c>
      <c r="C40" s="16" t="s">
        <v>163</v>
      </c>
      <c r="D40" s="16" t="s">
        <v>183</v>
      </c>
      <c r="E40" s="16" t="n">
        <v>40</v>
      </c>
      <c r="F40" s="18" t="n">
        <v>984</v>
      </c>
      <c r="G40" s="18" t="n">
        <v>567</v>
      </c>
    </row>
    <row r="41" customFormat="false" ht="15" hidden="false" customHeight="false" outlineLevel="0" collapsed="false">
      <c r="B41" s="16" t="s">
        <v>201</v>
      </c>
      <c r="C41" s="16" t="s">
        <v>168</v>
      </c>
      <c r="D41" s="16" t="s">
        <v>183</v>
      </c>
      <c r="E41" s="16" t="n">
        <v>54</v>
      </c>
      <c r="F41" s="18" t="n">
        <v>4150</v>
      </c>
      <c r="G41" s="18" t="n">
        <v>2322</v>
      </c>
    </row>
    <row r="42" customFormat="false" ht="15" hidden="false" customHeight="false" outlineLevel="0" collapsed="false">
      <c r="B42" s="16" t="s">
        <v>205</v>
      </c>
      <c r="C42" s="16" t="s">
        <v>158</v>
      </c>
      <c r="D42" s="16" t="s">
        <v>177</v>
      </c>
      <c r="E42" s="16" t="n">
        <v>96</v>
      </c>
      <c r="F42" s="18" t="n">
        <v>111046</v>
      </c>
      <c r="G42" s="18" t="n">
        <v>71386</v>
      </c>
    </row>
    <row r="43" customFormat="false" ht="15" hidden="false" customHeight="false" outlineLevel="0" collapsed="false">
      <c r="B43" s="16" t="s">
        <v>191</v>
      </c>
      <c r="C43" s="16" t="s">
        <v>163</v>
      </c>
      <c r="D43" s="16" t="s">
        <v>183</v>
      </c>
      <c r="E43" s="16" t="n">
        <v>60</v>
      </c>
      <c r="F43" s="18" t="n">
        <v>1629</v>
      </c>
      <c r="G43" s="18" t="n">
        <v>896</v>
      </c>
    </row>
    <row r="44" customFormat="false" ht="15" hidden="false" customHeight="false" outlineLevel="0" collapsed="false">
      <c r="B44" s="16" t="s">
        <v>203</v>
      </c>
      <c r="C44" s="16" t="s">
        <v>163</v>
      </c>
      <c r="D44" s="16" t="s">
        <v>174</v>
      </c>
      <c r="E44" s="16" t="n">
        <v>100</v>
      </c>
      <c r="F44" s="18" t="n">
        <v>2563</v>
      </c>
      <c r="G44" s="18" t="n">
        <v>1559</v>
      </c>
    </row>
    <row r="45" customFormat="false" ht="15" hidden="false" customHeight="false" outlineLevel="0" collapsed="false">
      <c r="B45" s="16" t="s">
        <v>206</v>
      </c>
      <c r="C45" s="16" t="s">
        <v>158</v>
      </c>
      <c r="D45" s="16" t="s">
        <v>180</v>
      </c>
      <c r="E45" s="16" t="n">
        <v>79</v>
      </c>
      <c r="F45" s="18" t="n">
        <v>86802</v>
      </c>
      <c r="G45" s="18" t="n">
        <v>44930</v>
      </c>
    </row>
    <row r="46" customFormat="false" ht="15" hidden="false" customHeight="false" outlineLevel="0" collapsed="false">
      <c r="B46" s="16" t="s">
        <v>207</v>
      </c>
      <c r="C46" s="16" t="s">
        <v>168</v>
      </c>
      <c r="D46" s="16" t="s">
        <v>174</v>
      </c>
      <c r="E46" s="16" t="n">
        <v>13</v>
      </c>
      <c r="F46" s="18" t="n">
        <v>1199</v>
      </c>
      <c r="G46" s="18" t="n">
        <v>738</v>
      </c>
    </row>
    <row r="47" customFormat="false" ht="15" hidden="false" customHeight="false" outlineLevel="0" collapsed="false">
      <c r="B47" s="16" t="s">
        <v>208</v>
      </c>
      <c r="C47" s="16" t="s">
        <v>168</v>
      </c>
      <c r="D47" s="16" t="s">
        <v>180</v>
      </c>
      <c r="E47" s="16" t="n">
        <v>5</v>
      </c>
      <c r="F47" s="18" t="n">
        <v>455</v>
      </c>
      <c r="G47" s="18" t="n">
        <v>238</v>
      </c>
    </row>
    <row r="48" customFormat="false" ht="15" hidden="false" customHeight="false" outlineLevel="0" collapsed="false">
      <c r="B48" s="16" t="s">
        <v>209</v>
      </c>
      <c r="C48" s="16" t="s">
        <v>161</v>
      </c>
      <c r="D48" s="16" t="s">
        <v>183</v>
      </c>
      <c r="E48" s="16" t="n">
        <v>10</v>
      </c>
      <c r="F48" s="18" t="n">
        <v>4224</v>
      </c>
      <c r="G48" s="18" t="n">
        <v>2485</v>
      </c>
    </row>
    <row r="49" customFormat="false" ht="15" hidden="false" customHeight="false" outlineLevel="0" collapsed="false">
      <c r="B49" s="16" t="s">
        <v>210</v>
      </c>
      <c r="C49" s="16" t="s">
        <v>168</v>
      </c>
      <c r="D49" s="16" t="s">
        <v>177</v>
      </c>
      <c r="E49" s="16" t="n">
        <v>91</v>
      </c>
      <c r="F49" s="18" t="n">
        <v>7136</v>
      </c>
      <c r="G49" s="18" t="n">
        <v>3960</v>
      </c>
    </row>
    <row r="50" customFormat="false" ht="15" hidden="false" customHeight="false" outlineLevel="0" collapsed="false">
      <c r="B50" s="16" t="s">
        <v>211</v>
      </c>
      <c r="C50" s="16" t="s">
        <v>163</v>
      </c>
      <c r="D50" s="16" t="s">
        <v>174</v>
      </c>
      <c r="E50" s="16" t="n">
        <v>90</v>
      </c>
      <c r="F50" s="18" t="n">
        <v>2401</v>
      </c>
      <c r="G50" s="18" t="n">
        <v>1206</v>
      </c>
    </row>
    <row r="51" customFormat="false" ht="15" hidden="false" customHeight="false" outlineLevel="0" collapsed="false">
      <c r="B51" s="16" t="s">
        <v>212</v>
      </c>
      <c r="C51" s="16" t="s">
        <v>163</v>
      </c>
      <c r="D51" s="16" t="s">
        <v>180</v>
      </c>
      <c r="E51" s="16" t="n">
        <v>46</v>
      </c>
      <c r="F51" s="18" t="n">
        <v>1156</v>
      </c>
      <c r="G51" s="18" t="n">
        <v>703</v>
      </c>
    </row>
    <row r="52" customFormat="false" ht="15" hidden="false" customHeight="false" outlineLevel="0" collapsed="false">
      <c r="B52" s="16" t="s">
        <v>213</v>
      </c>
      <c r="C52" s="16" t="s">
        <v>166</v>
      </c>
      <c r="D52" s="16" t="s">
        <v>183</v>
      </c>
      <c r="E52" s="16" t="n">
        <v>62</v>
      </c>
      <c r="F52" s="18" t="n">
        <v>3550</v>
      </c>
      <c r="G52" s="18" t="n">
        <v>2237</v>
      </c>
    </row>
    <row r="53" customFormat="false" ht="15" hidden="false" customHeight="false" outlineLevel="0" collapsed="false">
      <c r="B53" s="16" t="s">
        <v>214</v>
      </c>
      <c r="C53" s="16" t="s">
        <v>161</v>
      </c>
      <c r="D53" s="16" t="s">
        <v>180</v>
      </c>
      <c r="E53" s="16" t="n">
        <v>17</v>
      </c>
      <c r="F53" s="18" t="n">
        <v>6356</v>
      </c>
      <c r="G53" s="18" t="n">
        <v>3683</v>
      </c>
    </row>
    <row r="54" customFormat="false" ht="15" hidden="false" customHeight="false" outlineLevel="0" collapsed="false">
      <c r="B54" s="16" t="s">
        <v>210</v>
      </c>
      <c r="C54" s="16" t="s">
        <v>166</v>
      </c>
      <c r="D54" s="16" t="s">
        <v>183</v>
      </c>
      <c r="E54" s="16" t="n">
        <v>63</v>
      </c>
      <c r="F54" s="18" t="n">
        <v>3647</v>
      </c>
      <c r="G54" s="18" t="n">
        <v>2227</v>
      </c>
    </row>
    <row r="55" customFormat="false" ht="15" hidden="false" customHeight="false" outlineLevel="0" collapsed="false">
      <c r="B55" s="16" t="s">
        <v>215</v>
      </c>
      <c r="C55" s="16" t="s">
        <v>158</v>
      </c>
      <c r="D55" s="16" t="s">
        <v>174</v>
      </c>
      <c r="E55" s="16" t="n">
        <v>24</v>
      </c>
      <c r="F55" s="18" t="n">
        <v>27862</v>
      </c>
      <c r="G55" s="18" t="n">
        <v>15441</v>
      </c>
    </row>
    <row r="58" customFormat="false" ht="16.15" hidden="false" customHeight="false" outlineLevel="0" collapsed="false">
      <c r="B58" s="5" t="s">
        <v>216</v>
      </c>
    </row>
    <row r="59" customFormat="false" ht="15" hidden="false" customHeight="false" outlineLevel="0" collapsed="false">
      <c r="B59" s="12" t="s">
        <v>217</v>
      </c>
    </row>
    <row r="60" customFormat="false" ht="15" hidden="false" customHeight="false" outlineLevel="0" collapsed="false">
      <c r="B60" s="12" t="s">
        <v>218</v>
      </c>
    </row>
  </sheetData>
  <mergeCells count="3">
    <mergeCell ref="A1:I2"/>
    <mergeCell ref="A3:I3"/>
    <mergeCell ref="B5: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2026-03-20T18:12:12Z</dcterms:created>
  <dc:creator>openpyxl</dc:creator>
  <dc:description/>
  <dc:language>en-US</dc:language>
  <cp:lastModifiedBy/>
  <dcterms:modified xsi:type="dcterms:W3CDTF">2026-03-20T18:12:12Z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